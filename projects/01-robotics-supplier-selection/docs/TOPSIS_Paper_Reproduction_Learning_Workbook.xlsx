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3.xml" ContentType="application/vnd.openxmlformats-officedocument.spreadsheetml.comments+xml"/>
  <Override PartName="/xl/comments8.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mments4.xml" ContentType="application/vnd.openxmlformats-officedocument.spreadsheetml.comments+xml"/>
  <Override PartName="/xl/drawings/vmlDrawing2.vml" ContentType="application/vnd.openxmlformats-officedocument.vmlDrawing"/>
  <Override PartName="/xl/drawings/vmlDrawing4.vml" ContentType="application/vnd.openxmlformats-officedocument.vmlDrawing"/>
  <Override PartName="/xl/drawings/vmlDrawing3.vml" ContentType="application/vnd.openxmlformats-officedocument.vmlDrawing"/>
  <Override PartName="/xl/drawings/vmlDrawing1.vml" ContentType="application/vnd.openxmlformats-officedocument.vmlDrawing"/>
  <Override PartName="/xl/drawings/drawing1.xml" ContentType="application/vnd.openxmlformats-officedocument.drawing+xml"/>
  <Override PartName="/xl/drawings/vmlDrawing5.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Raw_Data" sheetId="2" state="visible" r:id="rId4"/>
    <sheet name="Entropy_Calc" sheetId="3" state="visible" r:id="rId5"/>
    <sheet name="AHP" sheetId="4" state="visible" r:id="rId6"/>
    <sheet name="Combined_Weights" sheetId="5" state="visible" r:id="rId7"/>
    <sheet name="TOPSIS" sheetId="6" state="visible" r:id="rId8"/>
    <sheet name="Published_Path" sheetId="7" state="visible" r:id="rId9"/>
    <sheet name="Validation" sheetId="8" state="visible" r:id="rId10"/>
  </sheets>
  <definedNames>
    <definedName function="false" hidden="false" localSheetId="3" name="_xlnm.Print_Area" vbProcedure="false">AHP!$A$1:$G$13</definedName>
    <definedName function="false" hidden="false" localSheetId="4" name="_xlnm.Print_Area" vbProcedure="false">Combined_Weights!$A$1:$I$21</definedName>
    <definedName function="false" hidden="false" localSheetId="2" name="_xlnm.Print_Area" vbProcedure="false">Entropy_Calc!$A$1:$H$36</definedName>
    <definedName function="false" hidden="false" localSheetId="6" name="_xlnm.Print_Area" vbProcedure="false">Published_Path!$A$1:$L$33</definedName>
    <definedName function="false" hidden="false" localSheetId="1" name="_xlnm.Print_Area" vbProcedure="false">Raw_Data!$A$1:$H$19</definedName>
    <definedName function="false" hidden="false" localSheetId="0" name="_xlnm.Print_Area" vbProcedure="false">README!$A$1:$H$28</definedName>
    <definedName function="false" hidden="false" localSheetId="5" name="_xlnm.Print_Area" vbProcedure="false">TOPSIS!$A$1:$L$49</definedName>
    <definedName function="false" hidden="false" localSheetId="7" name="_xlnm.Print_Area" vbProcedure="false">Validation!$A$1:$H$28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A10"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A11"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A12"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A13"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A14"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B10"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B11"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B12"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B13"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B14"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C10"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C11"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C12"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C13"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C14"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D10"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D11"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D12"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D13"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D14"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E10"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E11"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E12"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E13"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E14"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F10"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F11"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F12"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F13"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F14"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G10"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G11"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G12"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G13"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G14"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H10"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H11"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H12"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H13"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 ref="H14" authorId="0">
      <text>
        <r>
          <rPr>
            <sz val="10"/>
            <rFont val="Arial"/>
            <family val="2"/>
          </rPr>
          <t xml:space="preserve">Source: Chen (2020), Step 1 decision matrix, page 12.</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16</xdr:colOff>
                <xdr:row>2</xdr:row>
                <xdr:rowOff>9</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B25" authorId="0">
      <text>
        <r>
          <rPr>
            <sz val="10"/>
            <rFont val="Arial"/>
            <family val="2"/>
          </rPr>
          <t xml:space="preserve">Source: Chen (2020), Table 2, published local entropy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-29</xdr:colOff>
                <xdr:row>1</xdr:row>
                <xdr:rowOff>39</xdr:rowOff>
              </xdr:to>
            </anchor>
          </commentPr>
        </mc:Choice>
        <mc:Fallback/>
      </mc:AlternateContent>
    </comment>
    <comment ref="B30" authorId="0">
      <text>
        <r>
          <rPr>
            <sz val="10"/>
            <rFont val="Arial"/>
            <family val="2"/>
          </rPr>
          <t xml:space="preserve">Source: Chen (2020), Table 2, published facet entropy weight.</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-29</xdr:colOff>
                <xdr:row>2</xdr:row>
                <xdr:rowOff>9</xdr:rowOff>
              </xdr:to>
            </anchor>
          </commentPr>
        </mc:Choice>
        <mc:Fallback/>
      </mc:AlternateContent>
    </comment>
    <comment ref="B31" authorId="0">
      <text>
        <r>
          <rPr>
            <sz val="10"/>
            <rFont val="Arial"/>
            <family val="2"/>
          </rPr>
          <t xml:space="preserve">Source: Chen (2020), Table 2, published facet entropy weight.</t>
        </r>
      </text>
      <mc:AlternateContent>
        <mc:Choice Requires="v2">
          <commentPr autoFill="true" autoScale="false" colHidden="false" locked="false" rowHidden="false" textHAlign="justify" textVAlign="top">
            <anchor moveWithCells="false" sizeWithCells="false">
              <xdr:from>
                <xdr:col>0</xdr:col>
                <xdr:colOff>79</xdr:colOff>
                <xdr:row>1</xdr:row>
                <xdr:rowOff>13</xdr:rowOff>
              </xdr:from>
              <xdr:to>
                <xdr:col>1</xdr:col>
                <xdr:colOff>-29</xdr:colOff>
                <xdr:row>3</xdr:row>
                <xdr:rowOff>30</xdr:rowOff>
              </xdr:to>
            </anchor>
          </commentPr>
        </mc:Choice>
        <mc:Fallback/>
      </mc:AlternateContent>
    </comment>
    <comment ref="B32" authorId="0">
      <text>
        <r>
          <rPr>
            <sz val="10"/>
            <rFont val="Arial"/>
            <family val="2"/>
          </rPr>
          <t xml:space="preserve">Source: Chen (2020), Table 2, published facet entropy weight.</t>
        </r>
      </text>
      <mc:AlternateContent>
        <mc:Choice Requires="v2">
          <commentPr autoFill="true" autoScale="false" colHidden="false" locked="false" rowHidden="false" textHAlign="justify" textVAlign="top">
            <anchor moveWithCells="false" sizeWithCells="false">
              <xdr:from>
                <xdr:col>0</xdr:col>
                <xdr:colOff>79</xdr:colOff>
                <xdr:row>2</xdr:row>
                <xdr:rowOff>13</xdr:rowOff>
              </xdr:from>
              <xdr:to>
                <xdr:col>1</xdr:col>
                <xdr:colOff>-29</xdr:colOff>
                <xdr:row>6</xdr:row>
                <xdr:rowOff>0</xdr:rowOff>
              </xdr:to>
            </anchor>
          </commentPr>
        </mc:Choice>
        <mc:Fallback/>
      </mc:AlternateContent>
    </comment>
    <comment ref="C25" authorId="0">
      <text>
        <r>
          <rPr>
            <sz val="10"/>
            <rFont val="Arial"/>
            <family val="2"/>
          </rPr>
          <t xml:space="preserve">Source: Chen (2020), Table 2, published local entropy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-29</xdr:colOff>
                <xdr:row>1</xdr:row>
                <xdr:rowOff>39</xdr:rowOff>
              </xdr:to>
            </anchor>
          </commentPr>
        </mc:Choice>
        <mc:Fallback/>
      </mc:AlternateContent>
    </comment>
    <comment ref="D25" authorId="0">
      <text>
        <r>
          <rPr>
            <sz val="10"/>
            <rFont val="Arial"/>
            <family val="2"/>
          </rPr>
          <t xml:space="preserve">Source: Chen (2020), Table 2, published local entropy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-29</xdr:colOff>
                <xdr:row>1</xdr:row>
                <xdr:rowOff>39</xdr:rowOff>
              </xdr:to>
            </anchor>
          </commentPr>
        </mc:Choice>
        <mc:Fallback/>
      </mc:AlternateContent>
    </comment>
    <comment ref="E25" authorId="0">
      <text>
        <r>
          <rPr>
            <sz val="10"/>
            <rFont val="Arial"/>
            <family val="2"/>
          </rPr>
          <t xml:space="preserve">Source: Chen (2020), Table 2, published local entropy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-29</xdr:colOff>
                <xdr:row>1</xdr:row>
                <xdr:rowOff>39</xdr:rowOff>
              </xdr:to>
            </anchor>
          </commentPr>
        </mc:Choice>
        <mc:Fallback/>
      </mc:AlternateContent>
    </comment>
    <comment ref="F25" authorId="0">
      <text>
        <r>
          <rPr>
            <sz val="10"/>
            <rFont val="Arial"/>
            <family val="2"/>
          </rPr>
          <t xml:space="preserve">Source: Chen (2020), Table 2, published local entropy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-29</xdr:colOff>
                <xdr:row>1</xdr:row>
                <xdr:rowOff>39</xdr:rowOff>
              </xdr:to>
            </anchor>
          </commentPr>
        </mc:Choice>
        <mc:Fallback/>
      </mc:AlternateContent>
    </comment>
    <comment ref="G25" authorId="0">
      <text>
        <r>
          <rPr>
            <sz val="10"/>
            <rFont val="Arial"/>
            <family val="2"/>
          </rPr>
          <t xml:space="preserve">Source: Chen (2020), Table 2, published local entropy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-29</xdr:colOff>
                <xdr:row>1</xdr:row>
                <xdr:rowOff>39</xdr:rowOff>
              </xdr:to>
            </anchor>
          </commentPr>
        </mc:Choice>
        <mc:Fallback/>
      </mc:AlternateContent>
    </comment>
    <comment ref="H25" authorId="0">
      <text>
        <r>
          <rPr>
            <sz val="10"/>
            <rFont val="Arial"/>
            <family val="2"/>
          </rPr>
          <t xml:space="preserve">Source: Chen (2020), Table 2, published local entropy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-29</xdr:colOff>
                <xdr:row>1</xdr:row>
                <xdr:rowOff>39</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B5" authorId="0">
      <text>
        <r>
          <rPr>
            <sz val="10"/>
            <rFont val="Arial"/>
            <family val="2"/>
          </rPr>
          <t xml:space="preserve">Source: Chen (2020), Table 3, published facet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B6" authorId="0">
      <text>
        <r>
          <rPr>
            <sz val="10"/>
            <rFont val="Arial"/>
            <family val="2"/>
          </rPr>
          <t xml:space="preserve">Source: Chen (2020), Table 3, published facet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B7" authorId="0">
      <text>
        <r>
          <rPr>
            <sz val="10"/>
            <rFont val="Arial"/>
            <family val="2"/>
          </rPr>
          <t xml:space="preserve">Source: Chen (2020), Table 3, published facet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B8" authorId="0">
      <text>
        <r>
          <rPr>
            <sz val="10"/>
            <rFont val="Arial"/>
            <family val="2"/>
          </rPr>
          <t xml:space="preserve">Source: Chen (2020), Table 3, published facet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B9" authorId="0">
      <text>
        <r>
          <rPr>
            <sz val="10"/>
            <rFont val="Arial"/>
            <family val="2"/>
          </rPr>
          <t xml:space="preserve">Source: Chen (2020), Table 3, published facet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B10" authorId="0">
      <text>
        <r>
          <rPr>
            <sz val="10"/>
            <rFont val="Arial"/>
            <family val="2"/>
          </rPr>
          <t xml:space="preserve">Source: Chen (2020), Table 3, published facet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B11" authorId="0">
      <text>
        <r>
          <rPr>
            <sz val="10"/>
            <rFont val="Arial"/>
            <family val="2"/>
          </rPr>
          <t xml:space="preserve">Source: Chen (2020), Table 3, published facet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D5" authorId="0">
      <text>
        <r>
          <rPr>
            <sz val="10"/>
            <rFont val="Arial"/>
            <family val="2"/>
          </rPr>
          <t xml:space="preserve">Source: Chen (2020), Table 3, published local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D6" authorId="0">
      <text>
        <r>
          <rPr>
            <sz val="10"/>
            <rFont val="Arial"/>
            <family val="2"/>
          </rPr>
          <t xml:space="preserve">Source: Chen (2020), Table 3, published local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D7" authorId="0">
      <text>
        <r>
          <rPr>
            <sz val="10"/>
            <rFont val="Arial"/>
            <family val="2"/>
          </rPr>
          <t xml:space="preserve">Source: Chen (2020), Table 3, published local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D8" authorId="0">
      <text>
        <r>
          <rPr>
            <sz val="10"/>
            <rFont val="Arial"/>
            <family val="2"/>
          </rPr>
          <t xml:space="preserve">Source: Chen (2020), Table 3, published local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D9" authorId="0">
      <text>
        <r>
          <rPr>
            <sz val="10"/>
            <rFont val="Arial"/>
            <family val="2"/>
          </rPr>
          <t xml:space="preserve">Source: Chen (2020), Table 3, published local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D10" authorId="0">
      <text>
        <r>
          <rPr>
            <sz val="10"/>
            <rFont val="Arial"/>
            <family val="2"/>
          </rPr>
          <t xml:space="preserve">Source: Chen (2020), Table 3, published local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 ref="D11" authorId="0">
      <text>
        <r>
          <rPr>
            <sz val="10"/>
            <rFont val="Arial"/>
            <family val="2"/>
          </rPr>
          <t xml:space="preserve">Source: Chen (2020), Table 3, published local 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1</xdr:row>
                <xdr:rowOff>39</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G6" authorId="0">
      <text>
        <r>
          <rPr>
            <sz val="10"/>
            <rFont val="Arial"/>
            <family val="2"/>
          </rPr>
          <t xml:space="preserve">Source: Chen (2020), Table 4, published combined facet weight.</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xdr:colOff>
                <xdr:row>2</xdr:row>
                <xdr:rowOff>9</xdr:rowOff>
              </xdr:to>
            </anchor>
          </commentPr>
        </mc:Choice>
        <mc:Fallback/>
      </mc:AlternateContent>
    </comment>
    <comment ref="G7" authorId="0">
      <text>
        <r>
          <rPr>
            <sz val="10"/>
            <rFont val="Arial"/>
            <family val="2"/>
          </rPr>
          <t xml:space="preserve">Source: Chen (2020), Table 4, published combined facet weight.</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xdr:colOff>
                <xdr:row>2</xdr:row>
                <xdr:rowOff>9</xdr:rowOff>
              </xdr:to>
            </anchor>
          </commentPr>
        </mc:Choice>
        <mc:Fallback/>
      </mc:AlternateContent>
    </comment>
    <comment ref="G8" authorId="0">
      <text>
        <r>
          <rPr>
            <sz val="10"/>
            <rFont val="Arial"/>
            <family val="2"/>
          </rPr>
          <t xml:space="preserve">Source: Chen (2020), Table 4, published combined facet weight.</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xdr:colOff>
                <xdr:row>2</xdr:row>
                <xdr:rowOff>9</xdr:rowOff>
              </xdr:to>
            </anchor>
          </commentPr>
        </mc:Choice>
        <mc:Fallback/>
      </mc:AlternateContent>
    </comment>
    <comment ref="I13" authorId="0">
      <text>
        <r>
          <rPr>
            <sz val="10"/>
            <rFont val="Arial"/>
            <family val="2"/>
          </rPr>
          <t xml:space="preserve">Source: Chen (2020), Table 6, published final entropy-AHP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xdr:colOff>
                <xdr:row>2</xdr:row>
                <xdr:rowOff>9</xdr:rowOff>
              </xdr:to>
            </anchor>
          </commentPr>
        </mc:Choice>
        <mc:Fallback/>
      </mc:AlternateContent>
    </comment>
    <comment ref="I14" authorId="0">
      <text>
        <r>
          <rPr>
            <sz val="10"/>
            <rFont val="Arial"/>
            <family val="2"/>
          </rPr>
          <t xml:space="preserve">Source: Chen (2020), Table 6, published final entropy-AHP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xdr:colOff>
                <xdr:row>2</xdr:row>
                <xdr:rowOff>9</xdr:rowOff>
              </xdr:to>
            </anchor>
          </commentPr>
        </mc:Choice>
        <mc:Fallback/>
      </mc:AlternateContent>
    </comment>
    <comment ref="I15" authorId="0">
      <text>
        <r>
          <rPr>
            <sz val="10"/>
            <rFont val="Arial"/>
            <family val="2"/>
          </rPr>
          <t xml:space="preserve">Source: Chen (2020), Table 6, published final entropy-AHP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xdr:colOff>
                <xdr:row>2</xdr:row>
                <xdr:rowOff>9</xdr:rowOff>
              </xdr:to>
            </anchor>
          </commentPr>
        </mc:Choice>
        <mc:Fallback/>
      </mc:AlternateContent>
    </comment>
    <comment ref="I16" authorId="0">
      <text>
        <r>
          <rPr>
            <sz val="10"/>
            <rFont val="Arial"/>
            <family val="2"/>
          </rPr>
          <t xml:space="preserve">Source: Chen (2020), Table 6, published final entropy-AHP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xdr:colOff>
                <xdr:row>2</xdr:row>
                <xdr:rowOff>9</xdr:rowOff>
              </xdr:to>
            </anchor>
          </commentPr>
        </mc:Choice>
        <mc:Fallback/>
      </mc:AlternateContent>
    </comment>
    <comment ref="I17" authorId="0">
      <text>
        <r>
          <rPr>
            <sz val="10"/>
            <rFont val="Arial"/>
            <family val="2"/>
          </rPr>
          <t xml:space="preserve">Source: Chen (2020), Table 6, published final entropy-AHP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xdr:colOff>
                <xdr:row>2</xdr:row>
                <xdr:rowOff>9</xdr:rowOff>
              </xdr:to>
            </anchor>
          </commentPr>
        </mc:Choice>
        <mc:Fallback/>
      </mc:AlternateContent>
    </comment>
    <comment ref="I18" authorId="0">
      <text>
        <r>
          <rPr>
            <sz val="10"/>
            <rFont val="Arial"/>
            <family val="2"/>
          </rPr>
          <t xml:space="preserve">Source: Chen (2020), Table 6, published final entropy-AHP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xdr:colOff>
                <xdr:row>2</xdr:row>
                <xdr:rowOff>9</xdr:rowOff>
              </xdr:to>
            </anchor>
          </commentPr>
        </mc:Choice>
        <mc:Fallback/>
      </mc:AlternateContent>
    </comment>
    <comment ref="I19" authorId="0">
      <text>
        <r>
          <rPr>
            <sz val="10"/>
            <rFont val="Arial"/>
            <family val="2"/>
          </rPr>
          <t xml:space="preserve">Source: Chen (2020), Table 6, published final entropy-AHP weight.</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1</xdr:col>
                <xdr:colOff>1</xdr:colOff>
                <xdr:row>2</xdr:row>
                <xdr:rowOff>9</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C12" authorId="0">
      <text>
        <r>
          <rPr>
            <sz val="10"/>
            <rFont val="Arial"/>
            <family val="2"/>
          </rPr>
          <t xml:space="preserve">Published benchmark: Paper Table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39</xdr:rowOff>
              </xdr:to>
            </anchor>
          </commentPr>
        </mc:Choice>
        <mc:Fallback/>
      </mc:AlternateContent>
    </comment>
    <comment ref="C13" authorId="0">
      <text>
        <r>
          <rPr>
            <sz val="10"/>
            <rFont val="Arial"/>
            <family val="2"/>
          </rPr>
          <t xml:space="preserve">Published benchmark: Paper Table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39</xdr:rowOff>
              </xdr:to>
            </anchor>
          </commentPr>
        </mc:Choice>
        <mc:Fallback/>
      </mc:AlternateContent>
    </comment>
    <comment ref="C14" authorId="0">
      <text>
        <r>
          <rPr>
            <sz val="10"/>
            <rFont val="Arial"/>
            <family val="2"/>
          </rPr>
          <t xml:space="preserve">Published benchmark: Paper Table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39</xdr:rowOff>
              </xdr:to>
            </anchor>
          </commentPr>
        </mc:Choice>
        <mc:Fallback/>
      </mc:AlternateContent>
    </comment>
    <comment ref="C15" authorId="0">
      <text>
        <r>
          <rPr>
            <sz val="10"/>
            <rFont val="Arial"/>
            <family val="2"/>
          </rPr>
          <t xml:space="preserve">Published benchmark: Paper Table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39</xdr:rowOff>
              </xdr:to>
            </anchor>
          </commentPr>
        </mc:Choice>
        <mc:Fallback/>
      </mc:AlternateContent>
    </comment>
    <comment ref="C16" authorId="0">
      <text>
        <r>
          <rPr>
            <sz val="10"/>
            <rFont val="Arial"/>
            <family val="2"/>
          </rPr>
          <t xml:space="preserve">Published benchmark: Paper Table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39</xdr:rowOff>
              </xdr:to>
            </anchor>
          </commentPr>
        </mc:Choice>
        <mc:Fallback/>
      </mc:AlternateContent>
    </comment>
    <comment ref="C17" authorId="0">
      <text>
        <r>
          <rPr>
            <sz val="10"/>
            <rFont val="Arial"/>
            <family val="2"/>
          </rPr>
          <t xml:space="preserve">Published benchmark: Paper Table 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39</xdr:rowOff>
              </xdr:to>
            </anchor>
          </commentPr>
        </mc:Choice>
        <mc:Fallback/>
      </mc:AlternateContent>
    </comment>
    <comment ref="C18" authorId="0">
      <text>
        <r>
          <rPr>
            <sz val="10"/>
            <rFont val="Arial"/>
            <family val="2"/>
          </rPr>
          <t xml:space="preserve">Published benchmark: Paper Table 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39</xdr:rowOff>
              </xdr:to>
            </anchor>
          </commentPr>
        </mc:Choice>
        <mc:Fallback/>
      </mc:AlternateContent>
    </comment>
    <comment ref="C19" authorId="0">
      <text>
        <r>
          <rPr>
            <sz val="10"/>
            <rFont val="Arial"/>
            <family val="2"/>
          </rPr>
          <t xml:space="preserve">Published benchmark: Paper Table 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39</xdr:rowOff>
              </xdr:to>
            </anchor>
          </commentPr>
        </mc:Choice>
        <mc:Fallback/>
      </mc:AlternateContent>
    </comment>
    <comment ref="C20" authorId="0">
      <text>
        <r>
          <rPr>
            <sz val="10"/>
            <rFont val="Arial"/>
            <family val="2"/>
          </rPr>
          <t xml:space="preserve">Published benchmark: Paper Table 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39</xdr:rowOff>
              </xdr:to>
            </anchor>
          </commentPr>
        </mc:Choice>
        <mc:Fallback/>
      </mc:AlternateContent>
    </comment>
    <comment ref="C21" authorId="0">
      <text>
        <r>
          <rPr>
            <sz val="10"/>
            <rFont val="Arial"/>
            <family val="2"/>
          </rPr>
          <t xml:space="preserve">Published benchmark: Paper Table 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39</xdr:rowOff>
              </xdr:to>
            </anchor>
          </commentPr>
        </mc:Choice>
        <mc:Fallback/>
      </mc:AlternateContent>
    </comment>
    <comment ref="C22" authorId="0">
      <text>
        <r>
          <rPr>
            <sz val="10"/>
            <rFont val="Arial"/>
            <family val="2"/>
          </rPr>
          <t xml:space="preserve">Published benchmark: Should total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39</xdr:rowOff>
              </xdr:to>
            </anchor>
          </commentPr>
        </mc:Choice>
        <mc:Fallback/>
      </mc:AlternateContent>
    </comment>
  </commentList>
</comments>
</file>

<file path=xl/sharedStrings.xml><?xml version="1.0" encoding="utf-8"?>
<sst xmlns="http://schemas.openxmlformats.org/spreadsheetml/2006/main" count="279" uniqueCount="171">
  <si>
    <t xml:space="preserve">Entropy-AHP Weighted TOPSIS: Learning Workbook</t>
  </si>
  <si>
    <t xml:space="preserve">A transparent reproduction scaffold for Chen (2020), using visible formulas and published inputs.</t>
  </si>
  <si>
    <t xml:space="preserve">Purpose</t>
  </si>
  <si>
    <t xml:space="preserve">This workbook separates raw data, entropy calculations, published AHP inputs, combined weights, TOPSIS calculations, and validation. Blue text marks hardcoded source inputs; green text marks formulas linked to another sheet; black text marks formulas calculated within the current sheet.</t>
  </si>
  <si>
    <t xml:space="preserve">Workbook Map</t>
  </si>
  <si>
    <t xml:space="preserve">Sheet</t>
  </si>
  <si>
    <t xml:space="preserve">What it shows</t>
  </si>
  <si>
    <t xml:space="preserve">Primary learning question</t>
  </si>
  <si>
    <t xml:space="preserve">Raw_Data</t>
  </si>
  <si>
    <t xml:space="preserve">Paper's five suppliers and seven criteria</t>
  </si>
  <si>
    <t xml:space="preserve">What information enters the model?</t>
  </si>
  <si>
    <t xml:space="preserve">Entropy_Calc</t>
  </si>
  <si>
    <t xml:space="preserve">Direction-aware rescaling, proportions, entropy, and local weights</t>
  </si>
  <si>
    <t xml:space="preserve">Which criteria distinguish suppliers?</t>
  </si>
  <si>
    <t xml:space="preserve">AHP</t>
  </si>
  <si>
    <t xml:space="preserve">Published subjective facet and local weights</t>
  </si>
  <si>
    <t xml:space="preserve">What did the experts prioritize?</t>
  </si>
  <si>
    <t xml:space="preserve">Combined_Weights</t>
  </si>
  <si>
    <t xml:space="preserve">Multiplicative entropy-AHP combination</t>
  </si>
  <si>
    <t xml:space="preserve">How are objective and subjective weights reconciled?</t>
  </si>
  <si>
    <t xml:space="preserve">TOPSIS</t>
  </si>
  <si>
    <t xml:space="preserve">Equation-consistent normalization, ideals, distances, and ranking</t>
  </si>
  <si>
    <t xml:space="preserve">What follows when every published weight is applied consistently?</t>
  </si>
  <si>
    <t xml:space="preserve">Published_Path</t>
  </si>
  <si>
    <t xml:space="preserve">Reconstruction of the paper's displayed TOPSIS output</t>
  </si>
  <si>
    <t xml:space="preserve">Which apparent cell-reference pattern reproduces the paper?</t>
  </si>
  <si>
    <t xml:space="preserve">Validation</t>
  </si>
  <si>
    <t xml:space="preserve">Published-versus-reproduced checks</t>
  </si>
  <si>
    <t xml:space="preserve">Did the workbook reproduce the paper?</t>
  </si>
  <si>
    <t xml:space="preserve">Methodological Notes</t>
  </si>
  <si>
    <t xml:space="preserve">1. The paper does not publish the original expert pairwise-comparison matrices or consistency ratios. This workbook therefore treats the published AHP weights as sourced inputs.</t>
  </si>
  <si>
    <t xml:space="preserve">2. The paper's TOPSIS calculation uses column-sum normalization (each value divided by its criterion-column sum). The workbook matches that choice. Vector normalization remains a common TOPSIS alternative for later robustness testing.</t>
  </si>
  <si>
    <t xml:space="preserve">3. The entropy equations reproduce the Product Satisfaction and Service Level local weights closely, but the published Supply Innovation local weights do not match a direct recalculation from the displayed raw data and equations. The published values are retained in the reproduction path and the discrepancy is flagged.</t>
  </si>
  <si>
    <t xml:space="preserve">4. Applying the paper's final criterion weights consistently produces a different ranking. The published ranking is reproduced only by recreating an apparent reference error in the displayed weighted matrix: market share uses the price weight, while A1 price uses the market-share weight.</t>
  </si>
  <si>
    <t xml:space="preserve">5. Synthetic robotics data should not be mixed into this paper-reproduction workbook. It belongs in a separate extension after the published result is reproduced.</t>
  </si>
  <si>
    <t xml:space="preserve">Source</t>
  </si>
  <si>
    <t xml:space="preserve">Chun-Ho Chen (2020), 'A Novel Multi-Criteria Decision-Making Model for Building Material Supplier Selection Based on Entropy-AHP Weighted TOPSIS,' Entropy 22(2), 259. https://doi.org/10.3390/e22020259</t>
  </si>
  <si>
    <t xml:space="preserve">Raw Decision Matrix</t>
  </si>
  <si>
    <t xml:space="preserve">Hardcoded values transcribed from the paper's Step 1 decision matrix.</t>
  </si>
  <si>
    <t xml:space="preserve">Code</t>
  </si>
  <si>
    <t xml:space="preserve">C1</t>
  </si>
  <si>
    <t xml:space="preserve">C2</t>
  </si>
  <si>
    <t xml:space="preserve">C3</t>
  </si>
  <si>
    <t xml:space="preserve">C4</t>
  </si>
  <si>
    <t xml:space="preserve">C5</t>
  </si>
  <si>
    <t xml:space="preserve">C6</t>
  </si>
  <si>
    <t xml:space="preserve">C7</t>
  </si>
  <si>
    <t xml:space="preserve">Criterion</t>
  </si>
  <si>
    <t xml:space="preserve">Qualified-product rate</t>
  </si>
  <si>
    <t xml:space="preserve">Product price</t>
  </si>
  <si>
    <t xml:space="preserve">Product market share</t>
  </si>
  <si>
    <t xml:space="preserve">Supply capacity</t>
  </si>
  <si>
    <t xml:space="preserve">New-product development rate</t>
  </si>
  <si>
    <t xml:space="preserve">Delivery time</t>
  </si>
  <si>
    <t xml:space="preserve">On-time delivery ratio</t>
  </si>
  <si>
    <t xml:space="preserve">Facet</t>
  </si>
  <si>
    <t xml:space="preserve">Product Satisfaction</t>
  </si>
  <si>
    <t xml:space="preserve">Supply Innovation</t>
  </si>
  <si>
    <t xml:space="preserve">Service Level</t>
  </si>
  <si>
    <t xml:space="preserve">Direction</t>
  </si>
  <si>
    <t xml:space="preserve">Benefit</t>
  </si>
  <si>
    <t xml:space="preserve">Cost</t>
  </si>
  <si>
    <t xml:space="preserve">Unit</t>
  </si>
  <si>
    <t xml:space="preserve">ratio</t>
  </si>
  <si>
    <t xml:space="preserve">thousand dollars</t>
  </si>
  <si>
    <t xml:space="preserve">kg/time</t>
  </si>
  <si>
    <t xml:space="preserve">days</t>
  </si>
  <si>
    <t xml:space="preserve">A1</t>
  </si>
  <si>
    <t xml:space="preserve">A2</t>
  </si>
  <si>
    <t xml:space="preserve">A3</t>
  </si>
  <si>
    <t xml:space="preserve">A4</t>
  </si>
  <si>
    <t xml:space="preserve">A5</t>
  </si>
  <si>
    <t xml:space="preserve">Column sum</t>
  </si>
  <si>
    <t xml:space="preserve">Minimum</t>
  </si>
  <si>
    <t xml:space="preserve">Maximum</t>
  </si>
  <si>
    <t xml:space="preserve">Vector norm (learning reference)</t>
  </si>
  <si>
    <t xml:space="preserve">Entropy Weight Calculation</t>
  </si>
  <si>
    <t xml:space="preserve">Formula-driven recalculation from the paper's raw supplier data.</t>
  </si>
  <si>
    <t xml:space="preserve">A. Direction-Aware Min-Max Rescaling</t>
  </si>
  <si>
    <t xml:space="preserve">Supplier</t>
  </si>
  <si>
    <t xml:space="preserve">B. Proportions Within Each Criterion</t>
  </si>
  <si>
    <t xml:space="preserve">C. Entropy, Information Utility, and Local Weights</t>
  </si>
  <si>
    <t xml:space="preserve">Entropy e(j)</t>
  </si>
  <si>
    <t xml:space="preserve">Information utility 1-e(j)</t>
  </si>
  <si>
    <t xml:space="preserve">Recalculated local weight</t>
  </si>
  <si>
    <t xml:space="preserve">Published local weight</t>
  </si>
  <si>
    <t xml:space="preserve">Difference: recalculated - published</t>
  </si>
  <si>
    <t xml:space="preserve">D. Published Facet Entropy Weights</t>
  </si>
  <si>
    <t xml:space="preserve">Published entropy weight</t>
  </si>
  <si>
    <t xml:space="preserve">Source status</t>
  </si>
  <si>
    <t xml:space="preserve">Published input; intermediate Category 4 matrix not shown</t>
  </si>
  <si>
    <t xml:space="preserve">Interpretation note</t>
  </si>
  <si>
    <t xml:space="preserve">Entropy assigns one weight to each criterion based on variation across all five suppliers. It does not assign a different weight to each supplier. A near-zero difference in row 26 indicates that the displayed equations reproduce the published local weight.</t>
  </si>
  <si>
    <t xml:space="preserve">Published AHP Weights</t>
  </si>
  <si>
    <t xml:space="preserve">The paper reports final weights but omits the underlying expert pairwise matrices and consistency ratios.</t>
  </si>
  <si>
    <t xml:space="preserve">Facet AHP weight</t>
  </si>
  <si>
    <t xml:space="preserve">Local AHP weight</t>
  </si>
  <si>
    <t xml:space="preserve">Global AHP weight</t>
  </si>
  <si>
    <t xml:space="preserve">Global %</t>
  </si>
  <si>
    <t xml:space="preserve">Reproducibility note</t>
  </si>
  <si>
    <t xml:space="preserve">Raw expert comparisons unavailable</t>
  </si>
  <si>
    <t xml:space="preserve">Check: global weights total</t>
  </si>
  <si>
    <t xml:space="preserve">Combined Entropy-AHP Weights</t>
  </si>
  <si>
    <t xml:space="preserve">Multiply corresponding weights, normalize within each hierarchy level, then calculate global criterion weights.</t>
  </si>
  <si>
    <t xml:space="preserve">A. Facet-Level Combination</t>
  </si>
  <si>
    <t xml:space="preserve">Entropy</t>
  </si>
  <si>
    <t xml:space="preserve">Product</t>
  </si>
  <si>
    <t xml:space="preserve">Product total</t>
  </si>
  <si>
    <t xml:space="preserve">Combined facet weight</t>
  </si>
  <si>
    <t xml:space="preserve">Published</t>
  </si>
  <si>
    <t xml:space="preserve">Difference</t>
  </si>
  <si>
    <t xml:space="preserve">Check</t>
  </si>
  <si>
    <t xml:space="preserve">B. Criterion-Level Combination and Global Weights</t>
  </si>
  <si>
    <t xml:space="preserve">Entropy local</t>
  </si>
  <si>
    <t xml:space="preserve">AHP local</t>
  </si>
  <si>
    <t xml:space="preserve">Combined local</t>
  </si>
  <si>
    <t xml:space="preserve">Combined facet</t>
  </si>
  <si>
    <t xml:space="preserve">Final global</t>
  </si>
  <si>
    <t xml:space="preserve">Published global</t>
  </si>
  <si>
    <t xml:space="preserve">Check: final weights total</t>
  </si>
  <si>
    <t xml:space="preserve">Equation-Consistent TOPSIS</t>
  </si>
  <si>
    <t xml:space="preserve">This sheet applies every published final criterion weight consistently after the paper's column-sum normalization.</t>
  </si>
  <si>
    <t xml:space="preserve">A. Column-Sum Normalized Decision Matrix (Paper Method)</t>
  </si>
  <si>
    <t xml:space="preserve">B. Weighted Normalized Matrix</t>
  </si>
  <si>
    <t xml:space="preserve">Final weight</t>
  </si>
  <si>
    <t xml:space="preserve">C. Ideal Solutions and Supplier Distances</t>
  </si>
  <si>
    <t xml:space="preserve">Positive ideal</t>
  </si>
  <si>
    <t xml:space="preserve">Negative ideal</t>
  </si>
  <si>
    <t xml:space="preserve">Distance to positive S+</t>
  </si>
  <si>
    <t xml:space="preserve">Distance to negative S-</t>
  </si>
  <si>
    <t xml:space="preserve">Closeness</t>
  </si>
  <si>
    <t xml:space="preserve">Rank</t>
  </si>
  <si>
    <t xml:space="preserve">Published-Output Reconstruction</t>
  </si>
  <si>
    <t xml:space="preserve">This sheet transparently recreates the apparent cell-reference pattern needed to match the paper's Tables 7-10.</t>
  </si>
  <si>
    <t xml:space="preserve">Important: this is not the equation-consistent application of Table 6. To reproduce the paper's displayed weighted matrix and final ranking, C3 market share is multiplied by the C2 price weight for every supplier, while A1's C2 price value is multiplied by the C3 market-share weight. All other cells use their stated criterion weights. This pattern exactly explains the published matrix and ranking to displayed precision.</t>
  </si>
  <si>
    <t xml:space="preserve">A. Weight Actually Applied to Each Cell</t>
  </si>
  <si>
    <t xml:space="preserve">B. Reconstructed Weighted Matrix</t>
  </si>
  <si>
    <t xml:space="preserve">C. Published-Path Ideal Solutions and Ranking</t>
  </si>
  <si>
    <t xml:space="preserve">Validation Against Published Results</t>
  </si>
  <si>
    <t xml:space="preserve">Checks use displayed precision from the paper; small differences may arise from rounding.</t>
  </si>
  <si>
    <t xml:space="preserve">Reproduced</t>
  </si>
  <si>
    <t xml:space="preserve">Tolerance</t>
  </si>
  <si>
    <t xml:space="preserve">Status</t>
  </si>
  <si>
    <t xml:space="preserve">Interpretation</t>
  </si>
  <si>
    <t xml:space="preserve">C1 entropy local</t>
  </si>
  <si>
    <t xml:space="preserve">Entropy equation check</t>
  </si>
  <si>
    <t xml:space="preserve">Paper Tables 1-2</t>
  </si>
  <si>
    <t xml:space="preserve">C2 entropy local</t>
  </si>
  <si>
    <t xml:space="preserve">C3 entropy local</t>
  </si>
  <si>
    <t xml:space="preserve">C4 entropy local</t>
  </si>
  <si>
    <t xml:space="preserve">C5 entropy local</t>
  </si>
  <si>
    <t xml:space="preserve">C6 entropy local</t>
  </si>
  <si>
    <t xml:space="preserve">C7 entropy local</t>
  </si>
  <si>
    <t xml:space="preserve">A1 closeness</t>
  </si>
  <si>
    <t xml:space="preserve">Published-path reproduction</t>
  </si>
  <si>
    <t xml:space="preserve">Paper Table 9</t>
  </si>
  <si>
    <t xml:space="preserve">A2 closeness</t>
  </si>
  <si>
    <t xml:space="preserve">A3 closeness</t>
  </si>
  <si>
    <t xml:space="preserve">A4 closeness</t>
  </si>
  <si>
    <t xml:space="preserve">A5 closeness</t>
  </si>
  <si>
    <t xml:space="preserve">A1 rank</t>
  </si>
  <si>
    <t xml:space="preserve">Published-path ranking</t>
  </si>
  <si>
    <t xml:space="preserve">Paper Table 10</t>
  </si>
  <si>
    <t xml:space="preserve">A2 rank</t>
  </si>
  <si>
    <t xml:space="preserve">A3 rank</t>
  </si>
  <si>
    <t xml:space="preserve">A4 rank</t>
  </si>
  <si>
    <t xml:space="preserve">A5 rank</t>
  </si>
  <si>
    <t xml:space="preserve">Final combined weights total</t>
  </si>
  <si>
    <t xml:space="preserve">Model integrity</t>
  </si>
  <si>
    <t xml:space="preserve">Should total 1</t>
  </si>
  <si>
    <t xml:space="preserve">Expected learning outcome: PASS results confirm that a displayed paper value has been reproduced within the stated tolerance. A CHECK result does not automatically mean the workbook is wrong; it may expose rounding, an omitted intermediate step, or an inconsistency in the paper. The Supply Innovation entropy weights are expected to require investigation because the displayed equations and raw data do not reproduce the published local values. The closeness and ranking checks use the explicitly labeled Published_Path; the equation-consistent TOPSIS sheet intentionally shows the different outcome produced by applying every stated weight consistently.</t>
  </si>
</sst>
</file>

<file path=xl/styles.xml><?xml version="1.0" encoding="utf-8"?>
<styleSheet xmlns="http://schemas.openxmlformats.org/spreadsheetml/2006/main">
  <numFmts count="3">
    <numFmt numFmtId="164" formatCode="General"/>
    <numFmt numFmtId="165" formatCode="0.0000"/>
    <numFmt numFmtId="166" formatCode="0.00%"/>
  </numFmts>
  <fonts count="20">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1F2933"/>
      <name val="Arial"/>
      <family val="0"/>
      <charset val="1"/>
    </font>
    <font>
      <b val="true"/>
      <sz val="12"/>
      <color rgb="FF17324D"/>
      <name val="Arial"/>
      <family val="0"/>
      <charset val="1"/>
    </font>
    <font>
      <sz val="11"/>
      <color rgb="FF1F2933"/>
      <name val="Arial"/>
      <family val="0"/>
      <charset val="1"/>
    </font>
    <font>
      <b val="true"/>
      <sz val="10"/>
      <color rgb="FFFFFFFF"/>
      <name val="Arial"/>
      <family val="0"/>
      <charset val="1"/>
    </font>
    <font>
      <sz val="10"/>
      <color theme="1"/>
      <name val="Arial"/>
      <family val="2"/>
      <charset val="1"/>
    </font>
    <font>
      <sz val="10"/>
      <color rgb="FF1F2933"/>
      <name val="Arial"/>
      <family val="0"/>
      <charset val="1"/>
    </font>
    <font>
      <b val="true"/>
      <sz val="10"/>
      <color rgb="FF1F2933"/>
      <name val="Arial"/>
      <family val="0"/>
      <charset val="1"/>
    </font>
    <font>
      <sz val="10"/>
      <color rgb="FF0000FF"/>
      <name val="Arial"/>
      <family val="0"/>
      <charset val="1"/>
    </font>
    <font>
      <sz val="10"/>
      <color rgb="FF000000"/>
      <name val="Arial"/>
      <family val="0"/>
      <charset val="1"/>
    </font>
    <font>
      <sz val="10"/>
      <name val="Arial"/>
      <family val="2"/>
    </font>
    <font>
      <sz val="10"/>
      <color rgb="FF008000"/>
      <name val="Arial"/>
      <family val="0"/>
      <charset val="1"/>
    </font>
    <font>
      <b val="true"/>
      <sz val="10"/>
      <color rgb="FF17324D"/>
      <name val="Arial"/>
      <family val="0"/>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7324D"/>
        <bgColor rgb="FF1F2933"/>
      </patternFill>
    </fill>
    <fill>
      <patternFill patternType="solid">
        <fgColor rgb="FFEAF2F8"/>
        <bgColor rgb="FFEEF1F4"/>
      </patternFill>
    </fill>
    <fill>
      <patternFill patternType="solid">
        <fgColor rgb="FFDCEFED"/>
        <bgColor rgb="FFE2F0D9"/>
      </patternFill>
    </fill>
    <fill>
      <patternFill patternType="solid">
        <fgColor rgb="FF178582"/>
        <bgColor rgb="FF008080"/>
      </patternFill>
    </fill>
    <fill>
      <patternFill patternType="solid">
        <fgColor rgb="FFEEF1F4"/>
        <bgColor rgb="FFEAF2F8"/>
      </patternFill>
    </fill>
    <fill>
      <patternFill patternType="solid">
        <fgColor rgb="FFFFF2CC"/>
        <bgColor rgb="FFFCE4D6"/>
      </patternFill>
    </fill>
  </fills>
  <borders count="2">
    <border diagonalUp="false" diagonalDown="false">
      <left/>
      <right/>
      <top/>
      <bottom/>
      <diagonal/>
    </border>
    <border diagonalUp="false" diagonalDown="false">
      <left style="thin">
        <color rgb="FFD5DCE3"/>
      </left>
      <right style="thin">
        <color rgb="FFD5DCE3"/>
      </right>
      <top style="thin">
        <color rgb="FFD5DCE3"/>
      </top>
      <bottom style="thin">
        <color rgb="FFD5DC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4"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5" fontId="12" fillId="0" borderId="1" xfId="0" applyFont="true" applyBorder="true" applyAlignment="true" applyProtection="false">
      <alignment horizontal="general"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general" vertical="center"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5" fontId="15" fillId="0"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9" fillId="7" borderId="1" xfId="0" applyFont="true" applyBorder="true" applyAlignment="true" applyProtection="false">
      <alignment horizontal="general" vertical="center" textRotation="0" wrapText="true" indent="0" shrinkToFit="false"/>
      <protection locked="true" hidden="false"/>
    </xf>
    <xf numFmtId="166" fontId="13" fillId="0" borderId="1" xfId="0" applyFont="true" applyBorder="tru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center" textRotation="0" wrapText="true" indent="0" shrinkToFit="false"/>
      <protection locked="true" hidden="false"/>
    </xf>
    <xf numFmtId="164" fontId="13" fillId="2" borderId="1" xfId="0" applyFont="true" applyBorder="true" applyAlignment="true" applyProtection="false">
      <alignment horizontal="general" vertical="center" textRotation="0" wrapText="true" indent="0" shrinkToFit="false"/>
      <protection locked="true" hidden="false"/>
    </xf>
    <xf numFmtId="164" fontId="10" fillId="7" borderId="0"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F0D9"/>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78582"/>
      <rgbColor rgb="FFD9D9D9"/>
      <rgbColor rgb="FF878787"/>
      <rgbColor rgb="FF9999FF"/>
      <rgbColor rgb="FF993366"/>
      <rgbColor rgb="FFFFF2CC"/>
      <rgbColor rgb="FFDCEFED"/>
      <rgbColor rgb="FF660066"/>
      <rgbColor rgb="FFFF8080"/>
      <rgbColor rgb="FF0066CC"/>
      <rgbColor rgb="FFD5DCE3"/>
      <rgbColor rgb="FF000080"/>
      <rgbColor rgb="FFFF00FF"/>
      <rgbColor rgb="FFFFFF00"/>
      <rgbColor rgb="FF00FFFF"/>
      <rgbColor rgb="FF800080"/>
      <rgbColor rgb="FF800000"/>
      <rgbColor rgb="FF008080"/>
      <rgbColor rgb="FF0000FF"/>
      <rgbColor rgb="FF00CCFF"/>
      <rgbColor rgb="FFEAF2F8"/>
      <rgbColor rgb="FFE2F0D9"/>
      <rgbColor rgb="FFF9F9F9"/>
      <rgbColor rgb="FFEEF1F4"/>
      <rgbColor rgb="FFFF99CC"/>
      <rgbColor rgb="FFCC99FF"/>
      <rgbColor rgb="FFFCE4D6"/>
      <rgbColor rgb="FF3366FF"/>
      <rgbColor rgb="FF33CCCC"/>
      <rgbColor rgb="FF99CC00"/>
      <rgbColor rgb="FFFFCC00"/>
      <rgbColor rgb="FFFF9900"/>
      <rgbColor rgb="FFFF6600"/>
      <rgbColor rgb="FF4F81BD"/>
      <rgbColor rgb="FF969696"/>
      <rgbColor rgb="FF17324D"/>
      <rgbColor rgb="FF339966"/>
      <rgbColor rgb="FF003300"/>
      <rgbColor rgb="FF333300"/>
      <rgbColor rgb="FF993300"/>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Supplier Closeness to Positive Ideal</a:t>
            </a:r>
          </a:p>
        </c:rich>
      </c:tx>
      <c:overlay val="0"/>
      <c:spPr>
        <a:noFill/>
        <a:ln w="0">
          <a:noFill/>
        </a:ln>
      </c:spPr>
    </c:title>
    <c:autoTitleDeleted val="0"/>
    <c:plotArea>
      <c:barChart>
        <c:barDir val="bar"/>
        <c:grouping val="clustered"/>
        <c:varyColors val="0"/>
        <c:ser>
          <c:idx val="0"/>
          <c:order val="0"/>
          <c:tx>
            <c:strRef>
              <c:f>TOPSIS!K26</c:f>
              <c:strCache>
                <c:ptCount val="1"/>
                <c:pt idx="0">
                  <c:v>Closeness</c:v>
                </c:pt>
              </c:strCache>
            </c:strRef>
          </c:tx>
          <c:spPr>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TOPSIS!$H$27:$H$31</c:f>
              <c:strCache>
                <c:ptCount val="5"/>
                <c:pt idx="0">
                  <c:v>A1</c:v>
                </c:pt>
                <c:pt idx="1">
                  <c:v>A2</c:v>
                </c:pt>
                <c:pt idx="2">
                  <c:v>A3</c:v>
                </c:pt>
                <c:pt idx="3">
                  <c:v>A4</c:v>
                </c:pt>
                <c:pt idx="4">
                  <c:v>A5</c:v>
                </c:pt>
              </c:strCache>
            </c:strRef>
          </c:cat>
          <c:val>
            <c:numRef>
              <c:f>TOPSIS!$K$27:$K$31</c:f>
              <c:numCache>
                <c:formatCode>0.0000</c:formatCode>
                <c:ptCount val="5"/>
                <c:pt idx="0">
                  <c:v>0.522024681954861</c:v>
                </c:pt>
                <c:pt idx="1">
                  <c:v>0.301030808171845</c:v>
                </c:pt>
                <c:pt idx="2">
                  <c:v>0.669514816486277</c:v>
                </c:pt>
                <c:pt idx="3">
                  <c:v>0.585232182789504</c:v>
                </c:pt>
                <c:pt idx="4">
                  <c:v>0.387597716142526</c:v>
                </c:pt>
              </c:numCache>
            </c:numRef>
          </c:val>
        </c:ser>
        <c:gapWidth val="150"/>
        <c:overlap val="0"/>
        <c:axId val="14881016"/>
        <c:axId val="73575913"/>
      </c:barChart>
      <c:catAx>
        <c:axId val="14881016"/>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Closeness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3575913"/>
        <c:crosses val="autoZero"/>
        <c:auto val="1"/>
        <c:lblAlgn val="ctr"/>
        <c:lblOffset val="100"/>
        <c:noMultiLvlLbl val="0"/>
      </c:catAx>
      <c:valAx>
        <c:axId val="73575913"/>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Supplier</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4881016"/>
        <c:crosses val="autoZero"/>
        <c:crossBetween val="between"/>
      </c:valAx>
      <c:spPr>
        <a:ln w="0">
          <a:noFill/>
        </a:ln>
      </c:spPr>
    </c:plotArea>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0</xdr:rowOff>
    </xdr:from>
    <xdr:to>
      <xdr:col>3</xdr:col>
      <xdr:colOff>654480</xdr:colOff>
      <xdr:row>46</xdr:row>
      <xdr:rowOff>42840</xdr:rowOff>
    </xdr:to>
    <xdr:graphicFrame>
      <xdr:nvGraphicFramePr>
        <xdr:cNvPr id="1" name="Chart 1"/>
        <xdr:cNvGraphicFramePr/>
      </xdr:nvGraphicFramePr>
      <xdr:xfrm>
        <a:off x="0" y="7160760"/>
        <a:ext cx="431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8582"/>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54"/>
    <col collapsed="false" customWidth="true" hidden="false" outlineLevel="0" max="3" min="3" style="0" width="52"/>
    <col collapsed="false" customWidth="true" hidden="false" outlineLevel="0" max="8" min="4" style="0" width="3"/>
  </cols>
  <sheetData>
    <row r="1" customFormat="false" ht="31.5" hidden="false" customHeight="true" outlineLevel="0" collapsed="false">
      <c r="A1" s="1" t="s">
        <v>0</v>
      </c>
      <c r="B1" s="1"/>
      <c r="C1" s="1"/>
      <c r="D1" s="1"/>
      <c r="E1" s="1"/>
      <c r="F1" s="1"/>
      <c r="G1" s="1"/>
      <c r="H1" s="1"/>
    </row>
    <row r="2" customFormat="false" ht="31.5" hidden="false" customHeight="true" outlineLevel="0" collapsed="false">
      <c r="A2" s="2" t="s">
        <v>1</v>
      </c>
      <c r="B2" s="2"/>
      <c r="C2" s="2"/>
      <c r="D2" s="2"/>
      <c r="E2" s="2"/>
      <c r="F2" s="2"/>
      <c r="G2" s="2"/>
      <c r="H2" s="2"/>
    </row>
    <row r="4" customFormat="false" ht="24" hidden="false" customHeight="true" outlineLevel="0" collapsed="false">
      <c r="A4" s="3" t="s">
        <v>2</v>
      </c>
      <c r="B4" s="3"/>
      <c r="C4" s="3"/>
      <c r="D4" s="3"/>
      <c r="E4" s="3"/>
      <c r="F4" s="3"/>
      <c r="G4" s="3"/>
      <c r="H4" s="3"/>
    </row>
    <row r="5" customFormat="false" ht="15" hidden="false" customHeight="true" outlineLevel="0" collapsed="false">
      <c r="A5" s="4" t="s">
        <v>3</v>
      </c>
      <c r="B5" s="4"/>
      <c r="C5" s="4"/>
      <c r="D5" s="4"/>
      <c r="E5" s="4"/>
      <c r="F5" s="4"/>
      <c r="G5" s="4"/>
      <c r="H5" s="4"/>
    </row>
    <row r="6" customFormat="false" ht="15" hidden="false" customHeight="false" outlineLevel="0" collapsed="false">
      <c r="A6" s="4"/>
      <c r="B6" s="4"/>
      <c r="C6" s="4"/>
      <c r="D6" s="4"/>
      <c r="E6" s="4"/>
      <c r="F6" s="4"/>
      <c r="G6" s="4"/>
      <c r="H6" s="4"/>
    </row>
    <row r="7" customFormat="false" ht="15" hidden="false" customHeight="false" outlineLevel="0" collapsed="false">
      <c r="A7" s="4"/>
      <c r="B7" s="4"/>
      <c r="C7" s="4"/>
      <c r="D7" s="4"/>
      <c r="E7" s="4"/>
      <c r="F7" s="4"/>
      <c r="G7" s="4"/>
      <c r="H7" s="4"/>
    </row>
    <row r="9" customFormat="false" ht="24" hidden="false" customHeight="true" outlineLevel="0" collapsed="false">
      <c r="A9" s="3" t="s">
        <v>4</v>
      </c>
      <c r="B9" s="3"/>
      <c r="C9" s="3"/>
      <c r="D9" s="3"/>
      <c r="E9" s="3"/>
      <c r="F9" s="3"/>
      <c r="G9" s="3"/>
      <c r="H9" s="3"/>
    </row>
    <row r="10" customFormat="false" ht="15" hidden="false" customHeight="false" outlineLevel="0" collapsed="false">
      <c r="A10" s="5" t="s">
        <v>5</v>
      </c>
      <c r="B10" s="5" t="s">
        <v>6</v>
      </c>
      <c r="C10" s="5" t="s">
        <v>7</v>
      </c>
    </row>
    <row r="11" customFormat="false" ht="15" hidden="false" customHeight="false" outlineLevel="0" collapsed="false">
      <c r="A11" s="6" t="s">
        <v>8</v>
      </c>
      <c r="B11" s="6" t="s">
        <v>9</v>
      </c>
      <c r="C11" s="6" t="s">
        <v>10</v>
      </c>
    </row>
    <row r="12" customFormat="false" ht="15" hidden="false" customHeight="false" outlineLevel="0" collapsed="false">
      <c r="A12" s="6" t="s">
        <v>11</v>
      </c>
      <c r="B12" s="6" t="s">
        <v>12</v>
      </c>
      <c r="C12" s="6" t="s">
        <v>13</v>
      </c>
    </row>
    <row r="13" customFormat="false" ht="15" hidden="false" customHeight="false" outlineLevel="0" collapsed="false">
      <c r="A13" s="6" t="s">
        <v>14</v>
      </c>
      <c r="B13" s="6" t="s">
        <v>15</v>
      </c>
      <c r="C13" s="6" t="s">
        <v>16</v>
      </c>
    </row>
    <row r="14" customFormat="false" ht="15" hidden="false" customHeight="false" outlineLevel="0" collapsed="false">
      <c r="A14" s="6" t="s">
        <v>17</v>
      </c>
      <c r="B14" s="6" t="s">
        <v>18</v>
      </c>
      <c r="C14" s="6" t="s">
        <v>19</v>
      </c>
    </row>
    <row r="15" customFormat="false" ht="23.85" hidden="false" customHeight="false" outlineLevel="0" collapsed="false">
      <c r="A15" s="6" t="s">
        <v>20</v>
      </c>
      <c r="B15" s="6" t="s">
        <v>21</v>
      </c>
      <c r="C15" s="6" t="s">
        <v>22</v>
      </c>
    </row>
    <row r="16" customFormat="false" ht="15" hidden="false" customHeight="false" outlineLevel="0" collapsed="false">
      <c r="A16" s="6" t="s">
        <v>23</v>
      </c>
      <c r="B16" s="6" t="s">
        <v>24</v>
      </c>
      <c r="C16" s="6" t="s">
        <v>25</v>
      </c>
    </row>
    <row r="17" customFormat="false" ht="15" hidden="false" customHeight="false" outlineLevel="0" collapsed="false">
      <c r="A17" s="6" t="s">
        <v>26</v>
      </c>
      <c r="B17" s="6" t="s">
        <v>27</v>
      </c>
      <c r="C17" s="6" t="s">
        <v>28</v>
      </c>
    </row>
    <row r="18" customFormat="false" ht="24" hidden="false" customHeight="true" outlineLevel="0" collapsed="false">
      <c r="A18" s="3" t="s">
        <v>29</v>
      </c>
      <c r="B18" s="3"/>
      <c r="C18" s="3"/>
      <c r="D18" s="3"/>
      <c r="E18" s="3"/>
      <c r="F18" s="3"/>
      <c r="G18" s="3"/>
      <c r="H18" s="3"/>
    </row>
    <row r="19" customFormat="false" ht="33.75" hidden="false" customHeight="true" outlineLevel="0" collapsed="false">
      <c r="A19" s="7" t="s">
        <v>30</v>
      </c>
      <c r="B19" s="7"/>
      <c r="C19" s="7"/>
      <c r="D19" s="7"/>
      <c r="E19" s="7"/>
      <c r="F19" s="7"/>
      <c r="G19" s="7"/>
      <c r="H19" s="7"/>
    </row>
    <row r="20" customFormat="false" ht="33.75" hidden="false" customHeight="true" outlineLevel="0" collapsed="false">
      <c r="A20" s="7" t="s">
        <v>31</v>
      </c>
      <c r="B20" s="7"/>
      <c r="C20" s="7"/>
      <c r="D20" s="7"/>
      <c r="E20" s="7"/>
      <c r="F20" s="7"/>
      <c r="G20" s="7"/>
      <c r="H20" s="7"/>
    </row>
    <row r="21" customFormat="false" ht="33.75" hidden="false" customHeight="true" outlineLevel="0" collapsed="false">
      <c r="A21" s="7" t="s">
        <v>32</v>
      </c>
      <c r="B21" s="7"/>
      <c r="C21" s="7"/>
      <c r="D21" s="7"/>
      <c r="E21" s="7"/>
      <c r="F21" s="7"/>
      <c r="G21" s="7"/>
      <c r="H21" s="7"/>
    </row>
    <row r="22" customFormat="false" ht="33.75" hidden="false" customHeight="true" outlineLevel="0" collapsed="false">
      <c r="A22" s="7" t="s">
        <v>33</v>
      </c>
      <c r="B22" s="7"/>
      <c r="C22" s="7"/>
      <c r="D22" s="7"/>
      <c r="E22" s="7"/>
      <c r="F22" s="7"/>
      <c r="G22" s="7"/>
      <c r="H22" s="7"/>
    </row>
    <row r="23" customFormat="false" ht="33.75" hidden="false" customHeight="true" outlineLevel="0" collapsed="false">
      <c r="A23" s="7" t="s">
        <v>34</v>
      </c>
      <c r="B23" s="7"/>
      <c r="C23" s="7"/>
      <c r="D23" s="7"/>
      <c r="E23" s="7"/>
      <c r="F23" s="7"/>
      <c r="G23" s="7"/>
      <c r="H23" s="7"/>
    </row>
    <row r="26" customFormat="false" ht="24" hidden="false" customHeight="true" outlineLevel="0" collapsed="false">
      <c r="A26" s="3" t="s">
        <v>35</v>
      </c>
      <c r="B26" s="3"/>
      <c r="C26" s="3"/>
      <c r="D26" s="3"/>
      <c r="E26" s="3"/>
      <c r="F26" s="3"/>
      <c r="G26" s="3"/>
      <c r="H26" s="3"/>
    </row>
    <row r="27" customFormat="false" ht="31.5" hidden="false" customHeight="true" outlineLevel="0" collapsed="false">
      <c r="A27" s="7" t="s">
        <v>36</v>
      </c>
      <c r="B27" s="7"/>
      <c r="C27" s="7"/>
      <c r="D27" s="7"/>
      <c r="E27" s="7"/>
      <c r="F27" s="7"/>
      <c r="G27" s="7"/>
      <c r="H27" s="7"/>
    </row>
    <row r="28" customFormat="false" ht="15" hidden="false" customHeight="false" outlineLevel="0" collapsed="false">
      <c r="A28" s="7"/>
      <c r="B28" s="7"/>
      <c r="C28" s="7"/>
      <c r="D28" s="7"/>
      <c r="E28" s="7"/>
      <c r="F28" s="7"/>
      <c r="G28" s="7"/>
      <c r="H28" s="7"/>
    </row>
  </sheetData>
  <mergeCells count="13">
    <mergeCell ref="A1:H1"/>
    <mergeCell ref="A2:H2"/>
    <mergeCell ref="A4:H4"/>
    <mergeCell ref="A5:H7"/>
    <mergeCell ref="A9:H9"/>
    <mergeCell ref="A18:H18"/>
    <mergeCell ref="A19:H19"/>
    <mergeCell ref="A20:H20"/>
    <mergeCell ref="A21:H21"/>
    <mergeCell ref="A22:H22"/>
    <mergeCell ref="A23:H23"/>
    <mergeCell ref="A26:H26"/>
    <mergeCell ref="A27:H28"/>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&amp;CPage &amp;P of &amp;N&amp;RTOPSIS paper reproduction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8582"/>
    <pageSetUpPr fitToPage="tru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9"/>
    <col collapsed="false" customWidth="true" hidden="false" outlineLevel="0" max="3" min="3" style="0" width="18"/>
    <col collapsed="false" customWidth="true" hidden="false" outlineLevel="0" max="4" min="4" style="0" width="19"/>
    <col collapsed="false" customWidth="true" hidden="false" outlineLevel="0" max="5" min="5" style="0" width="18"/>
    <col collapsed="false" customWidth="true" hidden="false" outlineLevel="0" max="6" min="6" style="0" width="22"/>
    <col collapsed="false" customWidth="true" hidden="false" outlineLevel="0" max="7" min="7" style="0" width="16"/>
    <col collapsed="false" customWidth="true" hidden="false" outlineLevel="0" max="8" min="8" style="0" width="19"/>
  </cols>
  <sheetData>
    <row r="1" customFormat="false" ht="31.5" hidden="false" customHeight="true" outlineLevel="0" collapsed="false">
      <c r="A1" s="1" t="s">
        <v>37</v>
      </c>
      <c r="B1" s="1"/>
      <c r="C1" s="1"/>
      <c r="D1" s="1"/>
      <c r="E1" s="1"/>
      <c r="F1" s="1"/>
      <c r="G1" s="1"/>
      <c r="H1" s="1"/>
    </row>
    <row r="2" customFormat="false" ht="31.5" hidden="false" customHeight="true" outlineLevel="0" collapsed="false">
      <c r="A2" s="2" t="s">
        <v>38</v>
      </c>
      <c r="B2" s="2"/>
      <c r="C2" s="2"/>
      <c r="D2" s="2"/>
      <c r="E2" s="2"/>
      <c r="F2" s="2"/>
      <c r="G2" s="2"/>
      <c r="H2" s="2"/>
    </row>
    <row r="4" customFormat="false" ht="15" hidden="false" customHeight="false" outlineLevel="0" collapsed="false">
      <c r="A4" s="8" t="s">
        <v>39</v>
      </c>
      <c r="B4" s="8" t="s">
        <v>40</v>
      </c>
      <c r="C4" s="8" t="s">
        <v>41</v>
      </c>
      <c r="D4" s="8" t="s">
        <v>42</v>
      </c>
      <c r="E4" s="8" t="s">
        <v>43</v>
      </c>
      <c r="F4" s="8" t="s">
        <v>44</v>
      </c>
      <c r="G4" s="8" t="s">
        <v>45</v>
      </c>
      <c r="H4" s="8" t="s">
        <v>46</v>
      </c>
    </row>
    <row r="5" customFormat="false" ht="23.85" hidden="false" customHeight="false" outlineLevel="0" collapsed="false">
      <c r="A5" s="9" t="s">
        <v>47</v>
      </c>
      <c r="B5" s="6" t="s">
        <v>48</v>
      </c>
      <c r="C5" s="6" t="s">
        <v>49</v>
      </c>
      <c r="D5" s="6" t="s">
        <v>50</v>
      </c>
      <c r="E5" s="6" t="s">
        <v>51</v>
      </c>
      <c r="F5" s="6" t="s">
        <v>52</v>
      </c>
      <c r="G5" s="6" t="s">
        <v>53</v>
      </c>
      <c r="H5" s="6" t="s">
        <v>54</v>
      </c>
    </row>
    <row r="6" customFormat="false" ht="15" hidden="false" customHeight="false" outlineLevel="0" collapsed="false">
      <c r="A6" s="9" t="s">
        <v>55</v>
      </c>
      <c r="B6" s="6" t="s">
        <v>56</v>
      </c>
      <c r="C6" s="6" t="s">
        <v>56</v>
      </c>
      <c r="D6" s="6" t="s">
        <v>56</v>
      </c>
      <c r="E6" s="6" t="s">
        <v>57</v>
      </c>
      <c r="F6" s="6" t="s">
        <v>57</v>
      </c>
      <c r="G6" s="6" t="s">
        <v>58</v>
      </c>
      <c r="H6" s="6" t="s">
        <v>58</v>
      </c>
    </row>
    <row r="7" customFormat="false" ht="15" hidden="false" customHeight="false" outlineLevel="0" collapsed="false">
      <c r="A7" s="9" t="s">
        <v>59</v>
      </c>
      <c r="B7" s="6" t="s">
        <v>60</v>
      </c>
      <c r="C7" s="6" t="s">
        <v>61</v>
      </c>
      <c r="D7" s="6" t="s">
        <v>60</v>
      </c>
      <c r="E7" s="6" t="s">
        <v>60</v>
      </c>
      <c r="F7" s="6" t="s">
        <v>60</v>
      </c>
      <c r="G7" s="6" t="s">
        <v>61</v>
      </c>
      <c r="H7" s="6" t="s">
        <v>60</v>
      </c>
    </row>
    <row r="8" customFormat="false" ht="15" hidden="false" customHeight="false" outlineLevel="0" collapsed="false">
      <c r="A8" s="9" t="s">
        <v>62</v>
      </c>
      <c r="B8" s="6" t="s">
        <v>63</v>
      </c>
      <c r="C8" s="6" t="s">
        <v>64</v>
      </c>
      <c r="D8" s="6" t="s">
        <v>63</v>
      </c>
      <c r="E8" s="6" t="s">
        <v>65</v>
      </c>
      <c r="F8" s="6" t="s">
        <v>63</v>
      </c>
      <c r="G8" s="6" t="s">
        <v>66</v>
      </c>
      <c r="H8" s="6" t="s">
        <v>63</v>
      </c>
    </row>
    <row r="10" customFormat="false" ht="15" hidden="false" customHeight="false" outlineLevel="0" collapsed="false">
      <c r="A10" s="10" t="s">
        <v>67</v>
      </c>
      <c r="B10" s="11" t="n">
        <v>0.95</v>
      </c>
      <c r="C10" s="11" t="n">
        <v>36</v>
      </c>
      <c r="D10" s="11" t="n">
        <v>0.19</v>
      </c>
      <c r="E10" s="11" t="n">
        <v>53</v>
      </c>
      <c r="F10" s="11" t="n">
        <v>0.73</v>
      </c>
      <c r="G10" s="11" t="n">
        <v>11</v>
      </c>
      <c r="H10" s="11" t="n">
        <v>0.93</v>
      </c>
    </row>
    <row r="11" customFormat="false" ht="15" hidden="false" customHeight="false" outlineLevel="0" collapsed="false">
      <c r="A11" s="10" t="s">
        <v>68</v>
      </c>
      <c r="B11" s="11" t="n">
        <v>0.98</v>
      </c>
      <c r="C11" s="11" t="n">
        <v>39</v>
      </c>
      <c r="D11" s="11" t="n">
        <v>0.17</v>
      </c>
      <c r="E11" s="11" t="n">
        <v>52</v>
      </c>
      <c r="F11" s="11" t="n">
        <v>0.75</v>
      </c>
      <c r="G11" s="11" t="n">
        <v>13</v>
      </c>
      <c r="H11" s="11" t="n">
        <v>0.89</v>
      </c>
    </row>
    <row r="12" customFormat="false" ht="15" hidden="false" customHeight="false" outlineLevel="0" collapsed="false">
      <c r="A12" s="10" t="s">
        <v>69</v>
      </c>
      <c r="B12" s="11" t="n">
        <v>0.93</v>
      </c>
      <c r="C12" s="11" t="n">
        <v>33</v>
      </c>
      <c r="D12" s="11" t="n">
        <v>0.21</v>
      </c>
      <c r="E12" s="11" t="n">
        <v>57</v>
      </c>
      <c r="F12" s="11" t="n">
        <v>0.69</v>
      </c>
      <c r="G12" s="11" t="n">
        <v>11</v>
      </c>
      <c r="H12" s="11" t="n">
        <v>0.92</v>
      </c>
    </row>
    <row r="13" customFormat="false" ht="15" hidden="false" customHeight="false" outlineLevel="0" collapsed="false">
      <c r="A13" s="10" t="s">
        <v>70</v>
      </c>
      <c r="B13" s="11" t="n">
        <v>0.91</v>
      </c>
      <c r="C13" s="11" t="n">
        <v>37</v>
      </c>
      <c r="D13" s="11" t="n">
        <v>0.23</v>
      </c>
      <c r="E13" s="11" t="n">
        <v>56</v>
      </c>
      <c r="F13" s="11" t="n">
        <v>0.77</v>
      </c>
      <c r="G13" s="11" t="n">
        <v>12</v>
      </c>
      <c r="H13" s="11" t="n">
        <v>0.87</v>
      </c>
    </row>
    <row r="14" customFormat="false" ht="15" hidden="false" customHeight="false" outlineLevel="0" collapsed="false">
      <c r="A14" s="10" t="s">
        <v>71</v>
      </c>
      <c r="B14" s="11" t="n">
        <v>0.92</v>
      </c>
      <c r="C14" s="11" t="n">
        <v>35</v>
      </c>
      <c r="D14" s="11" t="n">
        <v>0.16</v>
      </c>
      <c r="E14" s="11" t="n">
        <v>51</v>
      </c>
      <c r="F14" s="11" t="n">
        <v>0.76</v>
      </c>
      <c r="G14" s="11" t="n">
        <v>10</v>
      </c>
      <c r="H14" s="11" t="n">
        <v>0.86</v>
      </c>
    </row>
    <row r="15" customFormat="false" ht="15" hidden="false" customHeight="false" outlineLevel="0" collapsed="false">
      <c r="B15" s="12"/>
      <c r="C15" s="12"/>
      <c r="D15" s="12"/>
      <c r="E15" s="12"/>
      <c r="F15" s="12"/>
      <c r="G15" s="12"/>
      <c r="H15" s="12"/>
    </row>
    <row r="16" customFormat="false" ht="15" hidden="false" customHeight="false" outlineLevel="0" collapsed="false">
      <c r="A16" s="9" t="s">
        <v>72</v>
      </c>
      <c r="B16" s="13" t="n">
        <f aca="false">SUM(B$10:B$14)</f>
        <v>4.69</v>
      </c>
      <c r="C16" s="13" t="n">
        <f aca="false">SUM(C$10:C$14)</f>
        <v>180</v>
      </c>
      <c r="D16" s="13" t="n">
        <f aca="false">SUM(D$10:D$14)</f>
        <v>0.96</v>
      </c>
      <c r="E16" s="13" t="n">
        <f aca="false">SUM(E$10:E$14)</f>
        <v>269</v>
      </c>
      <c r="F16" s="13" t="n">
        <f aca="false">SUM(F$10:F$14)</f>
        <v>3.7</v>
      </c>
      <c r="G16" s="13" t="n">
        <f aca="false">SUM(G$10:G$14)</f>
        <v>57</v>
      </c>
      <c r="H16" s="13" t="n">
        <f aca="false">SUM(H$10:H$14)</f>
        <v>4.47</v>
      </c>
    </row>
    <row r="17" customFormat="false" ht="15" hidden="false" customHeight="false" outlineLevel="0" collapsed="false">
      <c r="A17" s="9" t="s">
        <v>73</v>
      </c>
      <c r="B17" s="13" t="n">
        <f aca="false">MIN(B$10:B$14)</f>
        <v>0.91</v>
      </c>
      <c r="C17" s="13" t="n">
        <f aca="false">MIN(C$10:C$14)</f>
        <v>33</v>
      </c>
      <c r="D17" s="13" t="n">
        <f aca="false">MIN(D$10:D$14)</f>
        <v>0.16</v>
      </c>
      <c r="E17" s="13" t="n">
        <f aca="false">MIN(E$10:E$14)</f>
        <v>51</v>
      </c>
      <c r="F17" s="13" t="n">
        <f aca="false">MIN(F$10:F$14)</f>
        <v>0.69</v>
      </c>
      <c r="G17" s="13" t="n">
        <f aca="false">MIN(G$10:G$14)</f>
        <v>10</v>
      </c>
      <c r="H17" s="13" t="n">
        <f aca="false">MIN(H$10:H$14)</f>
        <v>0.86</v>
      </c>
    </row>
    <row r="18" customFormat="false" ht="15" hidden="false" customHeight="false" outlineLevel="0" collapsed="false">
      <c r="A18" s="9" t="s">
        <v>74</v>
      </c>
      <c r="B18" s="13" t="n">
        <f aca="false">MAX(B$10:B$14)</f>
        <v>0.98</v>
      </c>
      <c r="C18" s="13" t="n">
        <f aca="false">MAX(C$10:C$14)</f>
        <v>39</v>
      </c>
      <c r="D18" s="13" t="n">
        <f aca="false">MAX(D$10:D$14)</f>
        <v>0.23</v>
      </c>
      <c r="E18" s="13" t="n">
        <f aca="false">MAX(E$10:E$14)</f>
        <v>57</v>
      </c>
      <c r="F18" s="13" t="n">
        <f aca="false">MAX(F$10:F$14)</f>
        <v>0.77</v>
      </c>
      <c r="G18" s="13" t="n">
        <f aca="false">MAX(G$10:G$14)</f>
        <v>13</v>
      </c>
      <c r="H18" s="13" t="n">
        <f aca="false">MAX(H$10:H$14)</f>
        <v>0.93</v>
      </c>
    </row>
    <row r="19" customFormat="false" ht="23.85" hidden="false" customHeight="false" outlineLevel="0" collapsed="false">
      <c r="A19" s="9" t="s">
        <v>75</v>
      </c>
      <c r="B19" s="13" t="n">
        <f aca="false">SQRT(SUMSQ(B$10:B$14))</f>
        <v>2.09816586570271</v>
      </c>
      <c r="C19" s="13" t="n">
        <f aca="false">SQRT(SUMSQ(C$10:C$14))</f>
        <v>80.6225774829855</v>
      </c>
      <c r="D19" s="13" t="n">
        <f aca="false">SQRT(SUMSQ(D$10:D$14))</f>
        <v>0.433128156554154</v>
      </c>
      <c r="E19" s="13" t="n">
        <f aca="false">SQRT(SUMSQ(E$10:E$14))</f>
        <v>120.411793442337</v>
      </c>
      <c r="F19" s="13" t="n">
        <f aca="false">SQRT(SUMSQ(F$10:F$14))</f>
        <v>1.65589854761697</v>
      </c>
      <c r="G19" s="13" t="n">
        <f aca="false">SQRT(SUMSQ(G$10:G$14))</f>
        <v>25.5929677841395</v>
      </c>
      <c r="H19" s="13" t="n">
        <f aca="false">SQRT(SUMSQ(H$10:H$14))</f>
        <v>1.99997499984375</v>
      </c>
    </row>
  </sheetData>
  <mergeCells count="2">
    <mergeCell ref="A1:H1"/>
    <mergeCell ref="A2:H2"/>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&amp;CPage &amp;P of &amp;N&amp;RTOPSIS paper reproduction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8582"/>
    <pageSetUpPr fitToPage="tru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8" min="2" style="0" width="17"/>
  </cols>
  <sheetData>
    <row r="1" customFormat="false" ht="31.5" hidden="false" customHeight="true" outlineLevel="0" collapsed="false">
      <c r="A1" s="1" t="s">
        <v>76</v>
      </c>
      <c r="B1" s="1"/>
      <c r="C1" s="1"/>
      <c r="D1" s="1"/>
      <c r="E1" s="1"/>
      <c r="F1" s="1"/>
      <c r="G1" s="1"/>
      <c r="H1" s="1"/>
    </row>
    <row r="2" customFormat="false" ht="31.5" hidden="false" customHeight="true" outlineLevel="0" collapsed="false">
      <c r="A2" s="2" t="s">
        <v>77</v>
      </c>
      <c r="B2" s="2"/>
      <c r="C2" s="2"/>
      <c r="D2" s="2"/>
      <c r="E2" s="2"/>
      <c r="F2" s="2"/>
      <c r="G2" s="2"/>
      <c r="H2" s="2"/>
    </row>
    <row r="4" customFormat="false" ht="24" hidden="false" customHeight="true" outlineLevel="0" collapsed="false">
      <c r="A4" s="3" t="s">
        <v>78</v>
      </c>
      <c r="B4" s="3"/>
      <c r="C4" s="3"/>
      <c r="D4" s="3"/>
      <c r="E4" s="3"/>
      <c r="F4" s="3"/>
      <c r="G4" s="3"/>
      <c r="H4" s="3"/>
    </row>
    <row r="5" customFormat="false" ht="15" hidden="false" customHeight="false" outlineLevel="0" collapsed="false">
      <c r="A5" s="14" t="s">
        <v>79</v>
      </c>
      <c r="B5" s="14" t="str">
        <f aca="false">Raw_Data!B$4</f>
        <v>C1</v>
      </c>
      <c r="C5" s="14" t="str">
        <f aca="false">Raw_Data!C$4</f>
        <v>C2</v>
      </c>
      <c r="D5" s="14" t="str">
        <f aca="false">Raw_Data!D$4</f>
        <v>C3</v>
      </c>
      <c r="E5" s="14" t="str">
        <f aca="false">Raw_Data!E$4</f>
        <v>C4</v>
      </c>
      <c r="F5" s="14" t="str">
        <f aca="false">Raw_Data!F$4</f>
        <v>C5</v>
      </c>
      <c r="G5" s="14" t="str">
        <f aca="false">Raw_Data!G$4</f>
        <v>C6</v>
      </c>
      <c r="H5" s="14" t="str">
        <f aca="false">Raw_Data!H$4</f>
        <v>C7</v>
      </c>
    </row>
    <row r="6" customFormat="false" ht="15" hidden="false" customHeight="false" outlineLevel="0" collapsed="false">
      <c r="A6" s="15" t="str">
        <f aca="false">Raw_Data!A10</f>
        <v>A1</v>
      </c>
      <c r="B6" s="16" t="n">
        <f aca="false">IF(Raw_Data!B$7="Benefit",IFERROR((Raw_Data!B10-Raw_Data!B$17)/(Raw_Data!B$18-Raw_Data!B$17),0),IFERROR((Raw_Data!B$18-Raw_Data!B10)/(Raw_Data!B$18-Raw_Data!B$17),0))</f>
        <v>0.571428571428571</v>
      </c>
      <c r="C6" s="16" t="n">
        <f aca="false">IF(Raw_Data!C$7="Benefit",IFERROR((Raw_Data!C10-Raw_Data!C$17)/(Raw_Data!C$18-Raw_Data!C$17),0),IFERROR((Raw_Data!C$18-Raw_Data!C10)/(Raw_Data!C$18-Raw_Data!C$17),0))</f>
        <v>0.5</v>
      </c>
      <c r="D6" s="16" t="n">
        <f aca="false">IF(Raw_Data!D$7="Benefit",IFERROR((Raw_Data!D10-Raw_Data!D$17)/(Raw_Data!D$18-Raw_Data!D$17),0),IFERROR((Raw_Data!D$18-Raw_Data!D10)/(Raw_Data!D$18-Raw_Data!D$17),0))</f>
        <v>0.428571428571429</v>
      </c>
      <c r="E6" s="16" t="n">
        <f aca="false">IF(Raw_Data!E$7="Benefit",IFERROR((Raw_Data!E10-Raw_Data!E$17)/(Raw_Data!E$18-Raw_Data!E$17),0),IFERROR((Raw_Data!E$18-Raw_Data!E10)/(Raw_Data!E$18-Raw_Data!E$17),0))</f>
        <v>0.333333333333333</v>
      </c>
      <c r="F6" s="16" t="n">
        <f aca="false">IF(Raw_Data!F$7="Benefit",IFERROR((Raw_Data!F10-Raw_Data!F$17)/(Raw_Data!F$18-Raw_Data!F$17),0),IFERROR((Raw_Data!F$18-Raw_Data!F10)/(Raw_Data!F$18-Raw_Data!F$17),0))</f>
        <v>0.5</v>
      </c>
      <c r="G6" s="16" t="n">
        <f aca="false">IF(Raw_Data!G$7="Benefit",IFERROR((Raw_Data!G10-Raw_Data!G$17)/(Raw_Data!G$18-Raw_Data!G$17),0),IFERROR((Raw_Data!G$18-Raw_Data!G10)/(Raw_Data!G$18-Raw_Data!G$17),0))</f>
        <v>0.666666666666667</v>
      </c>
      <c r="H6" s="16" t="n">
        <f aca="false">IF(Raw_Data!H$7="Benefit",IFERROR((Raw_Data!H10-Raw_Data!H$17)/(Raw_Data!H$18-Raw_Data!H$17),0),IFERROR((Raw_Data!H$18-Raw_Data!H10)/(Raw_Data!H$18-Raw_Data!H$17),0))</f>
        <v>1</v>
      </c>
    </row>
    <row r="7" customFormat="false" ht="15" hidden="false" customHeight="false" outlineLevel="0" collapsed="false">
      <c r="A7" s="15" t="str">
        <f aca="false">Raw_Data!A11</f>
        <v>A2</v>
      </c>
      <c r="B7" s="16" t="n">
        <f aca="false">IF(Raw_Data!B$7="Benefit",IFERROR((Raw_Data!B11-Raw_Data!B$17)/(Raw_Data!B$18-Raw_Data!B$17),0),IFERROR((Raw_Data!B$18-Raw_Data!B11)/(Raw_Data!B$18-Raw_Data!B$17),0))</f>
        <v>1</v>
      </c>
      <c r="C7" s="16" t="n">
        <f aca="false">IF(Raw_Data!C$7="Benefit",IFERROR((Raw_Data!C11-Raw_Data!C$17)/(Raw_Data!C$18-Raw_Data!C$17),0),IFERROR((Raw_Data!C$18-Raw_Data!C11)/(Raw_Data!C$18-Raw_Data!C$17),0))</f>
        <v>0</v>
      </c>
      <c r="D7" s="16" t="n">
        <f aca="false">IF(Raw_Data!D$7="Benefit",IFERROR((Raw_Data!D11-Raw_Data!D$17)/(Raw_Data!D$18-Raw_Data!D$17),0),IFERROR((Raw_Data!D$18-Raw_Data!D11)/(Raw_Data!D$18-Raw_Data!D$17),0))</f>
        <v>0.142857142857143</v>
      </c>
      <c r="E7" s="16" t="n">
        <f aca="false">IF(Raw_Data!E$7="Benefit",IFERROR((Raw_Data!E11-Raw_Data!E$17)/(Raw_Data!E$18-Raw_Data!E$17),0),IFERROR((Raw_Data!E$18-Raw_Data!E11)/(Raw_Data!E$18-Raw_Data!E$17),0))</f>
        <v>0.166666666666667</v>
      </c>
      <c r="F7" s="16" t="n">
        <f aca="false">IF(Raw_Data!F$7="Benefit",IFERROR((Raw_Data!F11-Raw_Data!F$17)/(Raw_Data!F$18-Raw_Data!F$17),0),IFERROR((Raw_Data!F$18-Raw_Data!F11)/(Raw_Data!F$18-Raw_Data!F$17),0))</f>
        <v>0.75</v>
      </c>
      <c r="G7" s="16" t="n">
        <f aca="false">IF(Raw_Data!G$7="Benefit",IFERROR((Raw_Data!G11-Raw_Data!G$17)/(Raw_Data!G$18-Raw_Data!G$17),0),IFERROR((Raw_Data!G$18-Raw_Data!G11)/(Raw_Data!G$18-Raw_Data!G$17),0))</f>
        <v>0</v>
      </c>
      <c r="H7" s="16" t="n">
        <f aca="false">IF(Raw_Data!H$7="Benefit",IFERROR((Raw_Data!H11-Raw_Data!H$17)/(Raw_Data!H$18-Raw_Data!H$17),0),IFERROR((Raw_Data!H$18-Raw_Data!H11)/(Raw_Data!H$18-Raw_Data!H$17),0))</f>
        <v>0.428571428571429</v>
      </c>
    </row>
    <row r="8" customFormat="false" ht="15" hidden="false" customHeight="false" outlineLevel="0" collapsed="false">
      <c r="A8" s="15" t="str">
        <f aca="false">Raw_Data!A12</f>
        <v>A3</v>
      </c>
      <c r="B8" s="16" t="n">
        <f aca="false">IF(Raw_Data!B$7="Benefit",IFERROR((Raw_Data!B12-Raw_Data!B$17)/(Raw_Data!B$18-Raw_Data!B$17),0),IFERROR((Raw_Data!B$18-Raw_Data!B12)/(Raw_Data!B$18-Raw_Data!B$17),0))</f>
        <v>0.285714285714286</v>
      </c>
      <c r="C8" s="16" t="n">
        <f aca="false">IF(Raw_Data!C$7="Benefit",IFERROR((Raw_Data!C12-Raw_Data!C$17)/(Raw_Data!C$18-Raw_Data!C$17),0),IFERROR((Raw_Data!C$18-Raw_Data!C12)/(Raw_Data!C$18-Raw_Data!C$17),0))</f>
        <v>1</v>
      </c>
      <c r="D8" s="16" t="n">
        <f aca="false">IF(Raw_Data!D$7="Benefit",IFERROR((Raw_Data!D12-Raw_Data!D$17)/(Raw_Data!D$18-Raw_Data!D$17),0),IFERROR((Raw_Data!D$18-Raw_Data!D12)/(Raw_Data!D$18-Raw_Data!D$17),0))</f>
        <v>0.714285714285714</v>
      </c>
      <c r="E8" s="16" t="n">
        <f aca="false">IF(Raw_Data!E$7="Benefit",IFERROR((Raw_Data!E12-Raw_Data!E$17)/(Raw_Data!E$18-Raw_Data!E$17),0),IFERROR((Raw_Data!E$18-Raw_Data!E12)/(Raw_Data!E$18-Raw_Data!E$17),0))</f>
        <v>1</v>
      </c>
      <c r="F8" s="16" t="n">
        <f aca="false">IF(Raw_Data!F$7="Benefit",IFERROR((Raw_Data!F12-Raw_Data!F$17)/(Raw_Data!F$18-Raw_Data!F$17),0),IFERROR((Raw_Data!F$18-Raw_Data!F12)/(Raw_Data!F$18-Raw_Data!F$17),0))</f>
        <v>0</v>
      </c>
      <c r="G8" s="16" t="n">
        <f aca="false">IF(Raw_Data!G$7="Benefit",IFERROR((Raw_Data!G12-Raw_Data!G$17)/(Raw_Data!G$18-Raw_Data!G$17),0),IFERROR((Raw_Data!G$18-Raw_Data!G12)/(Raw_Data!G$18-Raw_Data!G$17),0))</f>
        <v>0.666666666666667</v>
      </c>
      <c r="H8" s="16" t="n">
        <f aca="false">IF(Raw_Data!H$7="Benefit",IFERROR((Raw_Data!H12-Raw_Data!H$17)/(Raw_Data!H$18-Raw_Data!H$17),0),IFERROR((Raw_Data!H$18-Raw_Data!H12)/(Raw_Data!H$18-Raw_Data!H$17),0))</f>
        <v>0.857142857142857</v>
      </c>
    </row>
    <row r="9" customFormat="false" ht="15" hidden="false" customHeight="false" outlineLevel="0" collapsed="false">
      <c r="A9" s="15" t="str">
        <f aca="false">Raw_Data!A13</f>
        <v>A4</v>
      </c>
      <c r="B9" s="16" t="n">
        <f aca="false">IF(Raw_Data!B$7="Benefit",IFERROR((Raw_Data!B13-Raw_Data!B$17)/(Raw_Data!B$18-Raw_Data!B$17),0),IFERROR((Raw_Data!B$18-Raw_Data!B13)/(Raw_Data!B$18-Raw_Data!B$17),0))</f>
        <v>0</v>
      </c>
      <c r="C9" s="16" t="n">
        <f aca="false">IF(Raw_Data!C$7="Benefit",IFERROR((Raw_Data!C13-Raw_Data!C$17)/(Raw_Data!C$18-Raw_Data!C$17),0),IFERROR((Raw_Data!C$18-Raw_Data!C13)/(Raw_Data!C$18-Raw_Data!C$17),0))</f>
        <v>0.333333333333333</v>
      </c>
      <c r="D9" s="16" t="n">
        <f aca="false">IF(Raw_Data!D$7="Benefit",IFERROR((Raw_Data!D13-Raw_Data!D$17)/(Raw_Data!D$18-Raw_Data!D$17),0),IFERROR((Raw_Data!D$18-Raw_Data!D13)/(Raw_Data!D$18-Raw_Data!D$17),0))</f>
        <v>1</v>
      </c>
      <c r="E9" s="16" t="n">
        <f aca="false">IF(Raw_Data!E$7="Benefit",IFERROR((Raw_Data!E13-Raw_Data!E$17)/(Raw_Data!E$18-Raw_Data!E$17),0),IFERROR((Raw_Data!E$18-Raw_Data!E13)/(Raw_Data!E$18-Raw_Data!E$17),0))</f>
        <v>0.833333333333333</v>
      </c>
      <c r="F9" s="16" t="n">
        <f aca="false">IF(Raw_Data!F$7="Benefit",IFERROR((Raw_Data!F13-Raw_Data!F$17)/(Raw_Data!F$18-Raw_Data!F$17),0),IFERROR((Raw_Data!F$18-Raw_Data!F13)/(Raw_Data!F$18-Raw_Data!F$17),0))</f>
        <v>1</v>
      </c>
      <c r="G9" s="16" t="n">
        <f aca="false">IF(Raw_Data!G$7="Benefit",IFERROR((Raw_Data!G13-Raw_Data!G$17)/(Raw_Data!G$18-Raw_Data!G$17),0),IFERROR((Raw_Data!G$18-Raw_Data!G13)/(Raw_Data!G$18-Raw_Data!G$17),0))</f>
        <v>0.333333333333333</v>
      </c>
      <c r="H9" s="16" t="n">
        <f aca="false">IF(Raw_Data!H$7="Benefit",IFERROR((Raw_Data!H13-Raw_Data!H$17)/(Raw_Data!H$18-Raw_Data!H$17),0),IFERROR((Raw_Data!H$18-Raw_Data!H13)/(Raw_Data!H$18-Raw_Data!H$17),0))</f>
        <v>0.142857142857143</v>
      </c>
    </row>
    <row r="10" customFormat="false" ht="15" hidden="false" customHeight="false" outlineLevel="0" collapsed="false">
      <c r="A10" s="15" t="str">
        <f aca="false">Raw_Data!A14</f>
        <v>A5</v>
      </c>
      <c r="B10" s="16" t="n">
        <f aca="false">IF(Raw_Data!B$7="Benefit",IFERROR((Raw_Data!B14-Raw_Data!B$17)/(Raw_Data!B$18-Raw_Data!B$17),0),IFERROR((Raw_Data!B$18-Raw_Data!B14)/(Raw_Data!B$18-Raw_Data!B$17),0))</f>
        <v>0.142857142857143</v>
      </c>
      <c r="C10" s="16" t="n">
        <f aca="false">IF(Raw_Data!C$7="Benefit",IFERROR((Raw_Data!C14-Raw_Data!C$17)/(Raw_Data!C$18-Raw_Data!C$17),0),IFERROR((Raw_Data!C$18-Raw_Data!C14)/(Raw_Data!C$18-Raw_Data!C$17),0))</f>
        <v>0.666666666666667</v>
      </c>
      <c r="D10" s="16" t="n">
        <f aca="false">IF(Raw_Data!D$7="Benefit",IFERROR((Raw_Data!D14-Raw_Data!D$17)/(Raw_Data!D$18-Raw_Data!D$17),0),IFERROR((Raw_Data!D$18-Raw_Data!D14)/(Raw_Data!D$18-Raw_Data!D$17),0))</f>
        <v>0</v>
      </c>
      <c r="E10" s="16" t="n">
        <f aca="false">IF(Raw_Data!E$7="Benefit",IFERROR((Raw_Data!E14-Raw_Data!E$17)/(Raw_Data!E$18-Raw_Data!E$17),0),IFERROR((Raw_Data!E$18-Raw_Data!E14)/(Raw_Data!E$18-Raw_Data!E$17),0))</f>
        <v>0</v>
      </c>
      <c r="F10" s="16" t="n">
        <f aca="false">IF(Raw_Data!F$7="Benefit",IFERROR((Raw_Data!F14-Raw_Data!F$17)/(Raw_Data!F$18-Raw_Data!F$17),0),IFERROR((Raw_Data!F$18-Raw_Data!F14)/(Raw_Data!F$18-Raw_Data!F$17),0))</f>
        <v>0.875</v>
      </c>
      <c r="G10" s="16" t="n">
        <f aca="false">IF(Raw_Data!G$7="Benefit",IFERROR((Raw_Data!G14-Raw_Data!G$17)/(Raw_Data!G$18-Raw_Data!G$17),0),IFERROR((Raw_Data!G$18-Raw_Data!G14)/(Raw_Data!G$18-Raw_Data!G$17),0))</f>
        <v>1</v>
      </c>
      <c r="H10" s="16" t="n">
        <f aca="false">IF(Raw_Data!H$7="Benefit",IFERROR((Raw_Data!H14-Raw_Data!H$17)/(Raw_Data!H$18-Raw_Data!H$17),0),IFERROR((Raw_Data!H$18-Raw_Data!H14)/(Raw_Data!H$18-Raw_Data!H$17),0))</f>
        <v>0</v>
      </c>
    </row>
    <row r="12" customFormat="false" ht="24" hidden="false" customHeight="true" outlineLevel="0" collapsed="false">
      <c r="A12" s="3" t="s">
        <v>80</v>
      </c>
      <c r="B12" s="3"/>
      <c r="C12" s="3"/>
      <c r="D12" s="3"/>
      <c r="E12" s="3"/>
      <c r="F12" s="3"/>
      <c r="G12" s="3"/>
      <c r="H12" s="3"/>
    </row>
    <row r="13" customFormat="false" ht="15" hidden="false" customHeight="false" outlineLevel="0" collapsed="false">
      <c r="A13" s="14" t="s">
        <v>79</v>
      </c>
      <c r="B13" s="14" t="str">
        <f aca="false">B$5</f>
        <v>C1</v>
      </c>
      <c r="C13" s="14" t="str">
        <f aca="false">C$5</f>
        <v>C2</v>
      </c>
      <c r="D13" s="14" t="str">
        <f aca="false">D$5</f>
        <v>C3</v>
      </c>
      <c r="E13" s="14" t="str">
        <f aca="false">E$5</f>
        <v>C4</v>
      </c>
      <c r="F13" s="14" t="str">
        <f aca="false">F$5</f>
        <v>C5</v>
      </c>
      <c r="G13" s="14" t="str">
        <f aca="false">G$5</f>
        <v>C6</v>
      </c>
      <c r="H13" s="14" t="str">
        <f aca="false">H$5</f>
        <v>C7</v>
      </c>
    </row>
    <row r="14" customFormat="false" ht="15" hidden="false" customHeight="false" outlineLevel="0" collapsed="false">
      <c r="A14" s="17" t="str">
        <f aca="false">A6</f>
        <v>A1</v>
      </c>
      <c r="B14" s="13" t="n">
        <f aca="false">IF(SUM(B$6:B$10)=0,0,B6/SUM(B$6:B$10))</f>
        <v>0.285714285714285</v>
      </c>
      <c r="C14" s="13" t="n">
        <f aca="false">IF(SUM(C$6:C$10)=0,0,C6/SUM(C$6:C$10))</f>
        <v>0.2</v>
      </c>
      <c r="D14" s="13" t="n">
        <f aca="false">IF(SUM(D$6:D$10)=0,0,D6/SUM(D$6:D$10))</f>
        <v>0.1875</v>
      </c>
      <c r="E14" s="13" t="n">
        <f aca="false">IF(SUM(E$6:E$10)=0,0,E6/SUM(E$6:E$10))</f>
        <v>0.142857142857143</v>
      </c>
      <c r="F14" s="13" t="n">
        <f aca="false">IF(SUM(F$6:F$10)=0,0,F6/SUM(F$6:F$10))</f>
        <v>0.16</v>
      </c>
      <c r="G14" s="13" t="n">
        <f aca="false">IF(SUM(G$6:G$10)=0,0,G6/SUM(G$6:G$10))</f>
        <v>0.25</v>
      </c>
      <c r="H14" s="13" t="n">
        <f aca="false">IF(SUM(H$6:H$10)=0,0,H6/SUM(H$6:H$10))</f>
        <v>0.411764705882353</v>
      </c>
    </row>
    <row r="15" customFormat="false" ht="15" hidden="false" customHeight="false" outlineLevel="0" collapsed="false">
      <c r="A15" s="17" t="str">
        <f aca="false">A7</f>
        <v>A2</v>
      </c>
      <c r="B15" s="13" t="n">
        <f aca="false">IF(SUM(B$6:B$10)=0,0,B7/SUM(B$6:B$10))</f>
        <v>0.5</v>
      </c>
      <c r="C15" s="13" t="n">
        <f aca="false">IF(SUM(C$6:C$10)=0,0,C7/SUM(C$6:C$10))</f>
        <v>0</v>
      </c>
      <c r="D15" s="13" t="n">
        <f aca="false">IF(SUM(D$6:D$10)=0,0,D7/SUM(D$6:D$10))</f>
        <v>0.0625000000000001</v>
      </c>
      <c r="E15" s="13" t="n">
        <f aca="false">IF(SUM(E$6:E$10)=0,0,E7/SUM(E$6:E$10))</f>
        <v>0.0714285714285714</v>
      </c>
      <c r="F15" s="13" t="n">
        <f aca="false">IF(SUM(F$6:F$10)=0,0,F7/SUM(F$6:F$10))</f>
        <v>0.24</v>
      </c>
      <c r="G15" s="13" t="n">
        <f aca="false">IF(SUM(G$6:G$10)=0,0,G7/SUM(G$6:G$10))</f>
        <v>0</v>
      </c>
      <c r="H15" s="13" t="n">
        <f aca="false">IF(SUM(H$6:H$10)=0,0,H7/SUM(H$6:H$10))</f>
        <v>0.176470588235294</v>
      </c>
    </row>
    <row r="16" customFormat="false" ht="15" hidden="false" customHeight="false" outlineLevel="0" collapsed="false">
      <c r="A16" s="17" t="str">
        <f aca="false">A8</f>
        <v>A3</v>
      </c>
      <c r="B16" s="13" t="n">
        <f aca="false">IF(SUM(B$6:B$10)=0,0,B8/SUM(B$6:B$10))</f>
        <v>0.142857142857143</v>
      </c>
      <c r="C16" s="13" t="n">
        <f aca="false">IF(SUM(C$6:C$10)=0,0,C8/SUM(C$6:C$10))</f>
        <v>0.4</v>
      </c>
      <c r="D16" s="13" t="n">
        <f aca="false">IF(SUM(D$6:D$10)=0,0,D8/SUM(D$6:D$10))</f>
        <v>0.3125</v>
      </c>
      <c r="E16" s="13" t="n">
        <f aca="false">IF(SUM(E$6:E$10)=0,0,E8/SUM(E$6:E$10))</f>
        <v>0.428571428571429</v>
      </c>
      <c r="F16" s="13" t="n">
        <f aca="false">IF(SUM(F$6:F$10)=0,0,F8/SUM(F$6:F$10))</f>
        <v>0</v>
      </c>
      <c r="G16" s="13" t="n">
        <f aca="false">IF(SUM(G$6:G$10)=0,0,G8/SUM(G$6:G$10))</f>
        <v>0.25</v>
      </c>
      <c r="H16" s="13" t="n">
        <f aca="false">IF(SUM(H$6:H$10)=0,0,H8/SUM(H$6:H$10))</f>
        <v>0.352941176470588</v>
      </c>
    </row>
    <row r="17" customFormat="false" ht="15" hidden="false" customHeight="false" outlineLevel="0" collapsed="false">
      <c r="A17" s="17" t="str">
        <f aca="false">A9</f>
        <v>A4</v>
      </c>
      <c r="B17" s="13" t="n">
        <f aca="false">IF(SUM(B$6:B$10)=0,0,B9/SUM(B$6:B$10))</f>
        <v>0</v>
      </c>
      <c r="C17" s="13" t="n">
        <f aca="false">IF(SUM(C$6:C$10)=0,0,C9/SUM(C$6:C$10))</f>
        <v>0.133333333333333</v>
      </c>
      <c r="D17" s="13" t="n">
        <f aca="false">IF(SUM(D$6:D$10)=0,0,D9/SUM(D$6:D$10))</f>
        <v>0.4375</v>
      </c>
      <c r="E17" s="13" t="n">
        <f aca="false">IF(SUM(E$6:E$10)=0,0,E9/SUM(E$6:E$10))</f>
        <v>0.357142857142857</v>
      </c>
      <c r="F17" s="13" t="n">
        <f aca="false">IF(SUM(F$6:F$10)=0,0,F9/SUM(F$6:F$10))</f>
        <v>0.32</v>
      </c>
      <c r="G17" s="13" t="n">
        <f aca="false">IF(SUM(G$6:G$10)=0,0,G9/SUM(G$6:G$10))</f>
        <v>0.125</v>
      </c>
      <c r="H17" s="13" t="n">
        <f aca="false">IF(SUM(H$6:H$10)=0,0,H9/SUM(H$6:H$10))</f>
        <v>0.0588235294117647</v>
      </c>
    </row>
    <row r="18" customFormat="false" ht="15" hidden="false" customHeight="false" outlineLevel="0" collapsed="false">
      <c r="A18" s="17" t="str">
        <f aca="false">A10</f>
        <v>A5</v>
      </c>
      <c r="B18" s="13" t="n">
        <f aca="false">IF(SUM(B$6:B$10)=0,0,B10/SUM(B$6:B$10))</f>
        <v>0.0714285714285715</v>
      </c>
      <c r="C18" s="13" t="n">
        <f aca="false">IF(SUM(C$6:C$10)=0,0,C10/SUM(C$6:C$10))</f>
        <v>0.266666666666667</v>
      </c>
      <c r="D18" s="13" t="n">
        <f aca="false">IF(SUM(D$6:D$10)=0,0,D10/SUM(D$6:D$10))</f>
        <v>0</v>
      </c>
      <c r="E18" s="13" t="n">
        <f aca="false">IF(SUM(E$6:E$10)=0,0,E10/SUM(E$6:E$10))</f>
        <v>0</v>
      </c>
      <c r="F18" s="13" t="n">
        <f aca="false">IF(SUM(F$6:F$10)=0,0,F10/SUM(F$6:F$10))</f>
        <v>0.28</v>
      </c>
      <c r="G18" s="13" t="n">
        <f aca="false">IF(SUM(G$6:G$10)=0,0,G10/SUM(G$6:G$10))</f>
        <v>0.375</v>
      </c>
      <c r="H18" s="13" t="n">
        <f aca="false">IF(SUM(H$6:H$10)=0,0,H10/SUM(H$6:H$10))</f>
        <v>0</v>
      </c>
    </row>
    <row r="20" customFormat="false" ht="24" hidden="false" customHeight="true" outlineLevel="0" collapsed="false">
      <c r="A20" s="3" t="s">
        <v>81</v>
      </c>
      <c r="B20" s="3"/>
      <c r="C20" s="3"/>
      <c r="D20" s="3"/>
      <c r="E20" s="3"/>
      <c r="F20" s="3"/>
      <c r="G20" s="3"/>
      <c r="H20" s="3"/>
    </row>
    <row r="22" customFormat="false" ht="15" hidden="false" customHeight="false" outlineLevel="0" collapsed="false">
      <c r="A22" s="9" t="s">
        <v>82</v>
      </c>
      <c r="B22" s="13" t="n">
        <f aca="false">-(1/LN(5))*(IF(B14=0,0,B14*LN(B14))+IF(B15=0,0,B15*LN(B15))+IF(B16=0,0,B16*LN(B16))+IF(B17=0,0,B17*LN(B17))+IF(B18=0,0,B18*LN(B18)))</f>
        <v>0.727581422724911</v>
      </c>
      <c r="C22" s="13" t="n">
        <f aca="false">-(1/LN(5))*(IF(C14=0,0,C14*LN(C14))+IF(C15=0,0,C15*LN(C15))+IF(C16=0,0,C16*LN(C16))+IF(C17=0,0,C17*LN(C17))+IF(C18=0,0,C18*LN(C18)))</f>
        <v>0.813654149182775</v>
      </c>
      <c r="D22" s="13" t="n">
        <f aca="false">-(1/LN(5))*(IF(D14=0,0,D14*LN(D14))+IF(D15=0,0,D15*LN(D15))+IF(D16=0,0,D16*LN(D16))+IF(D17=0,0,D17*LN(D17))+IF(D18=0,0,D18*LN(D18)))</f>
        <v>0.753252965461502</v>
      </c>
      <c r="E22" s="13" t="n">
        <f aca="false">-(1/LN(5))*(IF(E14=0,0,E14*LN(E14))+IF(E15=0,0,E15*LN(E15))+IF(E16=0,0,E16*LN(E16))+IF(E17=0,0,E17*LN(E17))+IF(E18=0,0,E18*LN(E18)))</f>
        <v>0.743949253802485</v>
      </c>
      <c r="F22" s="13" t="n">
        <f aca="false">-(1/LN(5))*(IF(F14=0,0,F14*LN(F14))+IF(F15=0,0,F15*LN(F15))+IF(F16=0,0,F16*LN(F16))+IF(F17=0,0,F17*LN(F17))+IF(F18=0,0,F18*LN(F18)))</f>
        <v>0.843008797617599</v>
      </c>
      <c r="G22" s="13" t="n">
        <f aca="false">-(1/LN(5))*(IF(G14=0,0,G14*LN(G14))+IF(G15=0,0,G15*LN(G15))+IF(G16=0,0,G16*LN(G16))+IF(G17=0,0,G17*LN(G17))+IF(G18=0,0,G18*LN(G18)))</f>
        <v>0.820714072251238</v>
      </c>
      <c r="H22" s="13" t="n">
        <f aca="false">-(1/LN(5))*(IF(H14=0,0,H14*LN(H14))+IF(H15=0,0,H15*LN(H15))+IF(H16=0,0,H16*LN(H16))+IF(H17=0,0,H17*LN(H17))+IF(H18=0,0,H18*LN(H18)))</f>
        <v>0.749142146271447</v>
      </c>
    </row>
    <row r="23" customFormat="false" ht="15" hidden="false" customHeight="false" outlineLevel="0" collapsed="false">
      <c r="A23" s="9" t="s">
        <v>83</v>
      </c>
      <c r="B23" s="13" t="n">
        <f aca="false">1-B22</f>
        <v>0.272418577275089</v>
      </c>
      <c r="C23" s="13" t="n">
        <f aca="false">1-C22</f>
        <v>0.186345850817225</v>
      </c>
      <c r="D23" s="13" t="n">
        <f aca="false">1-D22</f>
        <v>0.246747034538498</v>
      </c>
      <c r="E23" s="13" t="n">
        <f aca="false">1-E22</f>
        <v>0.256050746197515</v>
      </c>
      <c r="F23" s="13" t="n">
        <f aca="false">1-F22</f>
        <v>0.156991202382401</v>
      </c>
      <c r="G23" s="13" t="n">
        <f aca="false">1-G22</f>
        <v>0.179285927748762</v>
      </c>
      <c r="H23" s="13" t="n">
        <f aca="false">1-H22</f>
        <v>0.250857853728553</v>
      </c>
    </row>
    <row r="24" customFormat="false" ht="15" hidden="false" customHeight="false" outlineLevel="0" collapsed="false">
      <c r="A24" s="9" t="s">
        <v>84</v>
      </c>
      <c r="B24" s="13" t="n">
        <f aca="false">B23/($B$23+$C$23+$D$23)</f>
        <v>0.386129200876844</v>
      </c>
      <c r="C24" s="13" t="n">
        <f aca="false">C23/($B$23+$C$23+$D$23)</f>
        <v>0.264128735941939</v>
      </c>
      <c r="D24" s="13" t="n">
        <f aca="false">D23/($B$23+$C$23+$D$23)</f>
        <v>0.349742063181217</v>
      </c>
      <c r="E24" s="13" t="n">
        <f aca="false">E23/($E$23+$F$23)</f>
        <v>0.619914628714701</v>
      </c>
      <c r="F24" s="13" t="n">
        <f aca="false">F23/($E$23+$F$23)</f>
        <v>0.380085371285299</v>
      </c>
      <c r="G24" s="13" t="n">
        <f aca="false">G23/($G$23+$H$23)</f>
        <v>0.416804648745613</v>
      </c>
      <c r="H24" s="13" t="n">
        <f aca="false">H23/($G$23+$H$23)</f>
        <v>0.583195351254387</v>
      </c>
    </row>
    <row r="25" customFormat="false" ht="15" hidden="false" customHeight="false" outlineLevel="0" collapsed="false">
      <c r="A25" s="9" t="s">
        <v>85</v>
      </c>
      <c r="B25" s="11" t="n">
        <v>0.3862</v>
      </c>
      <c r="C25" s="11" t="n">
        <v>0.2641</v>
      </c>
      <c r="D25" s="11" t="n">
        <v>0.3497</v>
      </c>
      <c r="E25" s="11" t="n">
        <v>0.4658</v>
      </c>
      <c r="F25" s="11" t="n">
        <v>0.5342</v>
      </c>
      <c r="G25" s="11" t="n">
        <v>0.4168</v>
      </c>
      <c r="H25" s="11" t="n">
        <v>0.5832</v>
      </c>
    </row>
    <row r="26" customFormat="false" ht="15" hidden="false" customHeight="false" outlineLevel="0" collapsed="false">
      <c r="A26" s="9" t="s">
        <v>86</v>
      </c>
      <c r="B26" s="13" t="n">
        <f aca="false">B24-B25</f>
        <v>-7.07991231556071E-005</v>
      </c>
      <c r="C26" s="13" t="n">
        <f aca="false">C24-C25</f>
        <v>2.87359419388622E-005</v>
      </c>
      <c r="D26" s="13" t="n">
        <f aca="false">D24-D25</f>
        <v>4.20631812167449E-005</v>
      </c>
      <c r="E26" s="13" t="n">
        <f aca="false">E24-E25</f>
        <v>0.154114628714701</v>
      </c>
      <c r="F26" s="13" t="n">
        <f aca="false">F24-F25</f>
        <v>-0.154114628714701</v>
      </c>
      <c r="G26" s="13" t="n">
        <f aca="false">G24-G25</f>
        <v>4.64874561290074E-006</v>
      </c>
      <c r="H26" s="13" t="n">
        <f aca="false">H24-H25</f>
        <v>-4.64874561290074E-006</v>
      </c>
    </row>
    <row r="28" customFormat="false" ht="24" hidden="false" customHeight="true" outlineLevel="0" collapsed="false">
      <c r="A28" s="3" t="s">
        <v>87</v>
      </c>
      <c r="B28" s="3"/>
      <c r="C28" s="3"/>
      <c r="D28" s="3"/>
      <c r="E28" s="3"/>
      <c r="F28" s="3"/>
      <c r="G28" s="3"/>
      <c r="H28" s="3"/>
    </row>
    <row r="29" customFormat="false" ht="23.85" hidden="false" customHeight="false" outlineLevel="0" collapsed="false">
      <c r="A29" s="14" t="s">
        <v>55</v>
      </c>
      <c r="B29" s="14" t="s">
        <v>88</v>
      </c>
      <c r="C29" s="14" t="s">
        <v>89</v>
      </c>
    </row>
    <row r="30" customFormat="false" ht="46.25" hidden="false" customHeight="false" outlineLevel="0" collapsed="false">
      <c r="A30" s="6" t="s">
        <v>56</v>
      </c>
      <c r="B30" s="11" t="n">
        <v>0.4426</v>
      </c>
      <c r="C30" s="6" t="s">
        <v>90</v>
      </c>
    </row>
    <row r="31" customFormat="false" ht="46.25" hidden="false" customHeight="false" outlineLevel="0" collapsed="false">
      <c r="A31" s="6" t="s">
        <v>57</v>
      </c>
      <c r="B31" s="11" t="n">
        <v>0.2592</v>
      </c>
      <c r="C31" s="6" t="s">
        <v>90</v>
      </c>
    </row>
    <row r="32" customFormat="false" ht="46.25" hidden="false" customHeight="false" outlineLevel="0" collapsed="false">
      <c r="A32" s="6" t="s">
        <v>58</v>
      </c>
      <c r="B32" s="11" t="n">
        <v>0.2982</v>
      </c>
      <c r="C32" s="6" t="s">
        <v>90</v>
      </c>
    </row>
    <row r="34" customFormat="false" ht="15" hidden="false" customHeight="true" outlineLevel="0" collapsed="false">
      <c r="A34" s="18" t="s">
        <v>91</v>
      </c>
      <c r="B34" s="19" t="s">
        <v>92</v>
      </c>
      <c r="C34" s="19"/>
      <c r="D34" s="19"/>
      <c r="E34" s="19"/>
      <c r="F34" s="19"/>
      <c r="G34" s="19"/>
      <c r="H34" s="19"/>
    </row>
    <row r="35" customFormat="false" ht="15" hidden="false" customHeight="false" outlineLevel="0" collapsed="false">
      <c r="A35" s="6"/>
      <c r="B35" s="19"/>
      <c r="C35" s="19"/>
      <c r="D35" s="19"/>
      <c r="E35" s="19"/>
      <c r="F35" s="19"/>
      <c r="G35" s="19"/>
      <c r="H35" s="19"/>
    </row>
    <row r="36" customFormat="false" ht="15" hidden="false" customHeight="false" outlineLevel="0" collapsed="false">
      <c r="A36" s="6"/>
      <c r="B36" s="19"/>
      <c r="C36" s="19"/>
      <c r="D36" s="19"/>
      <c r="E36" s="19"/>
      <c r="F36" s="19"/>
      <c r="G36" s="19"/>
      <c r="H36" s="19"/>
    </row>
  </sheetData>
  <mergeCells count="7">
    <mergeCell ref="A1:H1"/>
    <mergeCell ref="A2:H2"/>
    <mergeCell ref="A4:H4"/>
    <mergeCell ref="A12:H12"/>
    <mergeCell ref="A20:H20"/>
    <mergeCell ref="A28:H28"/>
    <mergeCell ref="B34:H36"/>
  </mergeCells>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&amp;CPage &amp;P of &amp;N&amp;RTOPSIS paper reproduction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8582"/>
    <pageSetUpPr fitToPage="tru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7"/>
    <col collapsed="false" customWidth="true" hidden="false" outlineLevel="0" max="3" min="3" style="0" width="30"/>
    <col collapsed="false" customWidth="true" hidden="false" outlineLevel="0" max="5" min="4" style="0" width="18"/>
    <col collapsed="false" customWidth="true" hidden="false" outlineLevel="0" max="6" min="6" style="0" width="14"/>
    <col collapsed="false" customWidth="true" hidden="false" outlineLevel="0" max="7" min="7" style="0" width="34"/>
  </cols>
  <sheetData>
    <row r="1" customFormat="false" ht="31.5" hidden="false" customHeight="true" outlineLevel="0" collapsed="false">
      <c r="A1" s="1" t="s">
        <v>93</v>
      </c>
      <c r="B1" s="1"/>
      <c r="C1" s="1"/>
      <c r="D1" s="1"/>
      <c r="E1" s="1"/>
      <c r="F1" s="1"/>
      <c r="G1" s="1"/>
    </row>
    <row r="2" customFormat="false" ht="31.5" hidden="false" customHeight="true" outlineLevel="0" collapsed="false">
      <c r="A2" s="2" t="s">
        <v>94</v>
      </c>
      <c r="B2" s="2"/>
      <c r="C2" s="2"/>
      <c r="D2" s="2"/>
      <c r="E2" s="2"/>
      <c r="F2" s="2"/>
      <c r="G2" s="2"/>
    </row>
    <row r="4" customFormat="false" ht="15" hidden="false" customHeight="false" outlineLevel="0" collapsed="false">
      <c r="A4" s="14" t="s">
        <v>55</v>
      </c>
      <c r="B4" s="14" t="s">
        <v>95</v>
      </c>
      <c r="C4" s="14" t="s">
        <v>47</v>
      </c>
      <c r="D4" s="14" t="s">
        <v>96</v>
      </c>
      <c r="E4" s="14" t="s">
        <v>97</v>
      </c>
      <c r="F4" s="14" t="s">
        <v>98</v>
      </c>
      <c r="G4" s="14" t="s">
        <v>99</v>
      </c>
    </row>
    <row r="5" customFormat="false" ht="15" hidden="false" customHeight="false" outlineLevel="0" collapsed="false">
      <c r="A5" s="6" t="s">
        <v>56</v>
      </c>
      <c r="B5" s="11" t="n">
        <v>0.3916</v>
      </c>
      <c r="C5" s="6" t="s">
        <v>48</v>
      </c>
      <c r="D5" s="11" t="n">
        <v>0.4125</v>
      </c>
      <c r="E5" s="13" t="n">
        <f aca="false">B5*D5</f>
        <v>0.161535</v>
      </c>
      <c r="F5" s="20" t="n">
        <f aca="false">E5</f>
        <v>0.161535</v>
      </c>
      <c r="G5" s="6" t="s">
        <v>100</v>
      </c>
    </row>
    <row r="6" customFormat="false" ht="15" hidden="false" customHeight="false" outlineLevel="0" collapsed="false">
      <c r="A6" s="6" t="s">
        <v>56</v>
      </c>
      <c r="B6" s="11" t="n">
        <v>0.3916</v>
      </c>
      <c r="C6" s="6" t="s">
        <v>49</v>
      </c>
      <c r="D6" s="11" t="n">
        <v>0.3759</v>
      </c>
      <c r="E6" s="13" t="n">
        <f aca="false">B6*D6</f>
        <v>0.14720244</v>
      </c>
      <c r="F6" s="20" t="n">
        <f aca="false">E6</f>
        <v>0.14720244</v>
      </c>
      <c r="G6" s="6" t="s">
        <v>100</v>
      </c>
    </row>
    <row r="7" customFormat="false" ht="15" hidden="false" customHeight="false" outlineLevel="0" collapsed="false">
      <c r="A7" s="6" t="s">
        <v>56</v>
      </c>
      <c r="B7" s="11" t="n">
        <v>0.3916</v>
      </c>
      <c r="C7" s="6" t="s">
        <v>50</v>
      </c>
      <c r="D7" s="11" t="n">
        <v>0.2116</v>
      </c>
      <c r="E7" s="13" t="n">
        <f aca="false">B7*D7</f>
        <v>0.08286256</v>
      </c>
      <c r="F7" s="20" t="n">
        <f aca="false">E7</f>
        <v>0.08286256</v>
      </c>
      <c r="G7" s="6" t="s">
        <v>100</v>
      </c>
    </row>
    <row r="8" customFormat="false" ht="15" hidden="false" customHeight="false" outlineLevel="0" collapsed="false">
      <c r="A8" s="6" t="s">
        <v>57</v>
      </c>
      <c r="B8" s="11" t="n">
        <v>0.2815</v>
      </c>
      <c r="C8" s="6" t="s">
        <v>51</v>
      </c>
      <c r="D8" s="11" t="n">
        <v>0.5293</v>
      </c>
      <c r="E8" s="13" t="n">
        <f aca="false">B8*D8</f>
        <v>0.14899795</v>
      </c>
      <c r="F8" s="20" t="n">
        <f aca="false">E8</f>
        <v>0.14899795</v>
      </c>
      <c r="G8" s="6" t="s">
        <v>100</v>
      </c>
    </row>
    <row r="9" customFormat="false" ht="15" hidden="false" customHeight="false" outlineLevel="0" collapsed="false">
      <c r="A9" s="6" t="s">
        <v>57</v>
      </c>
      <c r="B9" s="11" t="n">
        <v>0.2815</v>
      </c>
      <c r="C9" s="6" t="s">
        <v>52</v>
      </c>
      <c r="D9" s="11" t="n">
        <v>0.4707</v>
      </c>
      <c r="E9" s="13" t="n">
        <f aca="false">B9*D9</f>
        <v>0.13250205</v>
      </c>
      <c r="F9" s="20" t="n">
        <f aca="false">E9</f>
        <v>0.13250205</v>
      </c>
      <c r="G9" s="6" t="s">
        <v>100</v>
      </c>
    </row>
    <row r="10" customFormat="false" ht="15" hidden="false" customHeight="false" outlineLevel="0" collapsed="false">
      <c r="A10" s="6" t="s">
        <v>58</v>
      </c>
      <c r="B10" s="11" t="n">
        <v>0.3269</v>
      </c>
      <c r="C10" s="6" t="s">
        <v>53</v>
      </c>
      <c r="D10" s="11" t="n">
        <v>0.3917</v>
      </c>
      <c r="E10" s="13" t="n">
        <f aca="false">B10*D10</f>
        <v>0.12804673</v>
      </c>
      <c r="F10" s="20" t="n">
        <f aca="false">E10</f>
        <v>0.12804673</v>
      </c>
      <c r="G10" s="6" t="s">
        <v>100</v>
      </c>
    </row>
    <row r="11" customFormat="false" ht="15" hidden="false" customHeight="false" outlineLevel="0" collapsed="false">
      <c r="A11" s="6" t="s">
        <v>58</v>
      </c>
      <c r="B11" s="11" t="n">
        <v>0.3269</v>
      </c>
      <c r="C11" s="6" t="s">
        <v>54</v>
      </c>
      <c r="D11" s="11" t="n">
        <v>0.6083</v>
      </c>
      <c r="E11" s="13" t="n">
        <f aca="false">B11*D11</f>
        <v>0.19885327</v>
      </c>
      <c r="F11" s="20" t="n">
        <f aca="false">E11</f>
        <v>0.19885327</v>
      </c>
      <c r="G11" s="6" t="s">
        <v>100</v>
      </c>
    </row>
    <row r="12" customFormat="false" ht="15" hidden="false" customHeight="false" outlineLevel="0" collapsed="false">
      <c r="D12" s="12"/>
      <c r="E12" s="12"/>
      <c r="F12" s="21"/>
    </row>
    <row r="13" customFormat="false" ht="15" hidden="false" customHeight="false" outlineLevel="0" collapsed="false">
      <c r="A13" s="6" t="s">
        <v>101</v>
      </c>
      <c r="B13" s="6"/>
      <c r="C13" s="6"/>
      <c r="D13" s="22"/>
      <c r="E13" s="13" t="n">
        <f aca="false">SUM(E5:E11)</f>
        <v>1</v>
      </c>
      <c r="F13" s="20" t="n">
        <f aca="false">E13</f>
        <v>1</v>
      </c>
      <c r="G13" s="6"/>
    </row>
  </sheetData>
  <mergeCells count="2">
    <mergeCell ref="A1:G1"/>
    <mergeCell ref="A2:G2"/>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&amp;CPage &amp;P of &amp;N&amp;RTOPSIS paper reproduction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8582"/>
    <pageSetUpPr fitToPage="tru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5" min="3" style="0" width="15"/>
    <col collapsed="false" customWidth="true" hidden="false" outlineLevel="0" max="7" min="6" style="0" width="18"/>
    <col collapsed="false" customWidth="true" hidden="false" outlineLevel="0" max="9" min="8" style="0" width="16"/>
  </cols>
  <sheetData>
    <row r="1" customFormat="false" ht="31.5" hidden="false" customHeight="true" outlineLevel="0" collapsed="false">
      <c r="A1" s="1" t="s">
        <v>102</v>
      </c>
      <c r="B1" s="1"/>
      <c r="C1" s="1"/>
      <c r="D1" s="1"/>
      <c r="E1" s="1"/>
      <c r="F1" s="1"/>
      <c r="G1" s="1"/>
      <c r="H1" s="1"/>
      <c r="I1" s="1"/>
    </row>
    <row r="2" customFormat="false" ht="31.5" hidden="false" customHeight="true" outlineLevel="0" collapsed="false">
      <c r="A2" s="2" t="s">
        <v>103</v>
      </c>
      <c r="B2" s="2"/>
      <c r="C2" s="2"/>
      <c r="D2" s="2"/>
      <c r="E2" s="2"/>
      <c r="F2" s="2"/>
      <c r="G2" s="2"/>
      <c r="H2" s="2"/>
      <c r="I2" s="2"/>
    </row>
    <row r="4" customFormat="false" ht="24" hidden="false" customHeight="true" outlineLevel="0" collapsed="false">
      <c r="A4" s="3" t="s">
        <v>104</v>
      </c>
      <c r="B4" s="3"/>
      <c r="C4" s="3"/>
      <c r="D4" s="3"/>
      <c r="E4" s="3"/>
      <c r="F4" s="3"/>
      <c r="G4" s="3"/>
      <c r="H4" s="3"/>
      <c r="I4" s="3"/>
    </row>
    <row r="5" customFormat="false" ht="23.85" hidden="false" customHeight="false" outlineLevel="0" collapsed="false">
      <c r="A5" s="14" t="s">
        <v>55</v>
      </c>
      <c r="B5" s="14" t="s">
        <v>105</v>
      </c>
      <c r="C5" s="14" t="s">
        <v>14</v>
      </c>
      <c r="D5" s="14" t="s">
        <v>106</v>
      </c>
      <c r="E5" s="14" t="s">
        <v>107</v>
      </c>
      <c r="F5" s="14" t="s">
        <v>108</v>
      </c>
      <c r="G5" s="14" t="s">
        <v>109</v>
      </c>
      <c r="H5" s="14" t="s">
        <v>110</v>
      </c>
      <c r="I5" s="14" t="s">
        <v>111</v>
      </c>
    </row>
    <row r="6" customFormat="false" ht="15" hidden="false" customHeight="false" outlineLevel="0" collapsed="false">
      <c r="A6" s="6" t="s">
        <v>56</v>
      </c>
      <c r="B6" s="16" t="n">
        <f aca="false">Entropy_Calc!B30</f>
        <v>0.4426</v>
      </c>
      <c r="C6" s="16" t="n">
        <f aca="false">AHP!B5</f>
        <v>0.3916</v>
      </c>
      <c r="D6" s="13" t="n">
        <f aca="false">B6*C6</f>
        <v>0.17332216</v>
      </c>
      <c r="E6" s="13" t="n">
        <f aca="false">SUM($D$6:$D$8)</f>
        <v>0.34376854</v>
      </c>
      <c r="F6" s="13" t="n">
        <f aca="false">ROUND(D6/E6,4)</f>
        <v>0.5042</v>
      </c>
      <c r="G6" s="11" t="n">
        <v>0.5042</v>
      </c>
      <c r="H6" s="13" t="n">
        <f aca="false">F6-G6</f>
        <v>0</v>
      </c>
      <c r="I6" s="17" t="str">
        <f aca="false">IF(ABS(H6)&lt;0.00015,"PASS","CHECK")</f>
        <v>PASS</v>
      </c>
    </row>
    <row r="7" customFormat="false" ht="15" hidden="false" customHeight="false" outlineLevel="0" collapsed="false">
      <c r="A7" s="6" t="s">
        <v>57</v>
      </c>
      <c r="B7" s="16" t="n">
        <f aca="false">Entropy_Calc!B31</f>
        <v>0.2592</v>
      </c>
      <c r="C7" s="16" t="n">
        <f aca="false">AHP!B8</f>
        <v>0.2815</v>
      </c>
      <c r="D7" s="13" t="n">
        <f aca="false">B7*C7</f>
        <v>0.0729648</v>
      </c>
      <c r="E7" s="13" t="n">
        <f aca="false">SUM($D$6:$D$8)</f>
        <v>0.34376854</v>
      </c>
      <c r="F7" s="13" t="n">
        <f aca="false">ROUND(D7/E7,4)</f>
        <v>0.2122</v>
      </c>
      <c r="G7" s="11" t="n">
        <v>0.2122</v>
      </c>
      <c r="H7" s="13" t="n">
        <f aca="false">F7-G7</f>
        <v>0</v>
      </c>
      <c r="I7" s="17" t="str">
        <f aca="false">IF(ABS(H7)&lt;0.00015,"PASS","CHECK")</f>
        <v>PASS</v>
      </c>
    </row>
    <row r="8" customFormat="false" ht="15" hidden="false" customHeight="false" outlineLevel="0" collapsed="false">
      <c r="A8" s="6" t="s">
        <v>58</v>
      </c>
      <c r="B8" s="16" t="n">
        <f aca="false">Entropy_Calc!B32</f>
        <v>0.2982</v>
      </c>
      <c r="C8" s="16" t="n">
        <f aca="false">AHP!B10</f>
        <v>0.3269</v>
      </c>
      <c r="D8" s="13" t="n">
        <f aca="false">B8*C8</f>
        <v>0.09748158</v>
      </c>
      <c r="E8" s="13" t="n">
        <f aca="false">SUM($D$6:$D$8)</f>
        <v>0.34376854</v>
      </c>
      <c r="F8" s="13" t="n">
        <f aca="false">ROUND(D8/E8,4)</f>
        <v>0.2836</v>
      </c>
      <c r="G8" s="11" t="n">
        <v>0.2836</v>
      </c>
      <c r="H8" s="13" t="n">
        <f aca="false">F8-G8</f>
        <v>0</v>
      </c>
      <c r="I8" s="17" t="str">
        <f aca="false">IF(ABS(H8)&lt;0.00015,"PASS","CHECK")</f>
        <v>PASS</v>
      </c>
    </row>
    <row r="11" customFormat="false" ht="24" hidden="false" customHeight="true" outlineLevel="0" collapsed="false">
      <c r="A11" s="3" t="s">
        <v>112</v>
      </c>
      <c r="B11" s="3"/>
      <c r="C11" s="3"/>
      <c r="D11" s="3"/>
      <c r="E11" s="3"/>
      <c r="F11" s="3"/>
      <c r="G11" s="3"/>
      <c r="H11" s="3"/>
      <c r="I11" s="3"/>
    </row>
    <row r="12" customFormat="false" ht="15" hidden="false" customHeight="false" outlineLevel="0" collapsed="false">
      <c r="A12" s="14" t="s">
        <v>47</v>
      </c>
      <c r="B12" s="14" t="s">
        <v>55</v>
      </c>
      <c r="C12" s="14" t="s">
        <v>113</v>
      </c>
      <c r="D12" s="14" t="s">
        <v>114</v>
      </c>
      <c r="E12" s="14" t="s">
        <v>106</v>
      </c>
      <c r="F12" s="14" t="s">
        <v>115</v>
      </c>
      <c r="G12" s="14" t="s">
        <v>116</v>
      </c>
      <c r="H12" s="14" t="s">
        <v>117</v>
      </c>
      <c r="I12" s="14" t="s">
        <v>118</v>
      </c>
    </row>
    <row r="13" customFormat="false" ht="15" hidden="false" customHeight="false" outlineLevel="0" collapsed="false">
      <c r="A13" s="6" t="s">
        <v>48</v>
      </c>
      <c r="B13" s="6" t="s">
        <v>56</v>
      </c>
      <c r="C13" s="16" t="n">
        <f aca="false">Entropy_Calc!B25</f>
        <v>0.3862</v>
      </c>
      <c r="D13" s="16" t="n">
        <f aca="false">AHP!D5</f>
        <v>0.4125</v>
      </c>
      <c r="E13" s="13" t="n">
        <f aca="false">C13*D13</f>
        <v>0.1593075</v>
      </c>
      <c r="F13" s="13" t="n">
        <f aca="false">ROUND(E13/SUM($E$13:$E$15),4)</f>
        <v>0.479</v>
      </c>
      <c r="G13" s="13" t="n">
        <f aca="false">$F$6</f>
        <v>0.5042</v>
      </c>
      <c r="H13" s="13" t="n">
        <f aca="false">ROUND(F13*G13,4)</f>
        <v>0.2415</v>
      </c>
      <c r="I13" s="11" t="n">
        <v>0.2415</v>
      </c>
    </row>
    <row r="14" customFormat="false" ht="15" hidden="false" customHeight="false" outlineLevel="0" collapsed="false">
      <c r="A14" s="6" t="s">
        <v>49</v>
      </c>
      <c r="B14" s="6" t="s">
        <v>56</v>
      </c>
      <c r="C14" s="16" t="n">
        <f aca="false">Entropy_Calc!C25</f>
        <v>0.2641</v>
      </c>
      <c r="D14" s="16" t="n">
        <f aca="false">AHP!D6</f>
        <v>0.3759</v>
      </c>
      <c r="E14" s="13" t="n">
        <f aca="false">C14*D14</f>
        <v>0.09927519</v>
      </c>
      <c r="F14" s="13" t="n">
        <f aca="false">ROUND(E14/SUM($E$13:$E$15),4)</f>
        <v>0.2985</v>
      </c>
      <c r="G14" s="13" t="n">
        <f aca="false">$F$6</f>
        <v>0.5042</v>
      </c>
      <c r="H14" s="13" t="n">
        <f aca="false">ROUND(F14*G14,4)</f>
        <v>0.1505</v>
      </c>
      <c r="I14" s="11" t="n">
        <v>0.1505</v>
      </c>
    </row>
    <row r="15" customFormat="false" ht="15" hidden="false" customHeight="false" outlineLevel="0" collapsed="false">
      <c r="A15" s="6" t="s">
        <v>50</v>
      </c>
      <c r="B15" s="6" t="s">
        <v>56</v>
      </c>
      <c r="C15" s="16" t="n">
        <f aca="false">Entropy_Calc!D25</f>
        <v>0.3497</v>
      </c>
      <c r="D15" s="16" t="n">
        <f aca="false">AHP!D7</f>
        <v>0.2116</v>
      </c>
      <c r="E15" s="13" t="n">
        <f aca="false">C15*D15</f>
        <v>0.07399652</v>
      </c>
      <c r="F15" s="13" t="n">
        <f aca="false">ROUND(E15/SUM($E$13:$E$15),4)</f>
        <v>0.2225</v>
      </c>
      <c r="G15" s="13" t="n">
        <f aca="false">$F$6</f>
        <v>0.5042</v>
      </c>
      <c r="H15" s="13" t="n">
        <f aca="false">ROUND(F15*G15,4)</f>
        <v>0.1122</v>
      </c>
      <c r="I15" s="11" t="n">
        <v>0.1122</v>
      </c>
    </row>
    <row r="16" customFormat="false" ht="15" hidden="false" customHeight="false" outlineLevel="0" collapsed="false">
      <c r="A16" s="6" t="s">
        <v>51</v>
      </c>
      <c r="B16" s="6" t="s">
        <v>57</v>
      </c>
      <c r="C16" s="16" t="n">
        <f aca="false">Entropy_Calc!E25</f>
        <v>0.4658</v>
      </c>
      <c r="D16" s="16" t="n">
        <f aca="false">AHP!D8</f>
        <v>0.5293</v>
      </c>
      <c r="E16" s="13" t="n">
        <f aca="false">C16*D16</f>
        <v>0.24654794</v>
      </c>
      <c r="F16" s="13" t="n">
        <f aca="false">ROUND(E16/SUM($E$16:$E$17),4)</f>
        <v>0.4951</v>
      </c>
      <c r="G16" s="13" t="n">
        <f aca="false">$F$7</f>
        <v>0.2122</v>
      </c>
      <c r="H16" s="13" t="n">
        <f aca="false">ROUND(F16*G16,4)</f>
        <v>0.1051</v>
      </c>
      <c r="I16" s="11" t="n">
        <v>0.1051</v>
      </c>
    </row>
    <row r="17" customFormat="false" ht="15" hidden="false" customHeight="false" outlineLevel="0" collapsed="false">
      <c r="A17" s="6" t="s">
        <v>52</v>
      </c>
      <c r="B17" s="6" t="s">
        <v>57</v>
      </c>
      <c r="C17" s="16" t="n">
        <f aca="false">Entropy_Calc!F25</f>
        <v>0.5342</v>
      </c>
      <c r="D17" s="16" t="n">
        <f aca="false">AHP!D9</f>
        <v>0.4707</v>
      </c>
      <c r="E17" s="13" t="n">
        <f aca="false">C17*D17</f>
        <v>0.25144794</v>
      </c>
      <c r="F17" s="13" t="n">
        <f aca="false">ROUND(E17/SUM($E$16:$E$17),4)</f>
        <v>0.5049</v>
      </c>
      <c r="G17" s="13" t="n">
        <f aca="false">$F$7</f>
        <v>0.2122</v>
      </c>
      <c r="H17" s="13" t="n">
        <f aca="false">ROUND(F17*G17,4)</f>
        <v>0.1071</v>
      </c>
      <c r="I17" s="11" t="n">
        <v>0.1071</v>
      </c>
    </row>
    <row r="18" customFormat="false" ht="15" hidden="false" customHeight="false" outlineLevel="0" collapsed="false">
      <c r="A18" s="6" t="s">
        <v>53</v>
      </c>
      <c r="B18" s="6" t="s">
        <v>58</v>
      </c>
      <c r="C18" s="16" t="n">
        <f aca="false">Entropy_Calc!G25</f>
        <v>0.4168</v>
      </c>
      <c r="D18" s="16" t="n">
        <f aca="false">AHP!D10</f>
        <v>0.3917</v>
      </c>
      <c r="E18" s="13" t="n">
        <f aca="false">C18*D18</f>
        <v>0.16326056</v>
      </c>
      <c r="F18" s="13" t="n">
        <f aca="false">ROUND(E18/SUM($E$18:$E$19),4)</f>
        <v>0.3152</v>
      </c>
      <c r="G18" s="13" t="n">
        <f aca="false">$F$8</f>
        <v>0.2836</v>
      </c>
      <c r="H18" s="13" t="n">
        <f aca="false">ROUND(F18*G18,4)</f>
        <v>0.0894</v>
      </c>
      <c r="I18" s="11" t="n">
        <v>0.0894</v>
      </c>
    </row>
    <row r="19" customFormat="false" ht="15" hidden="false" customHeight="false" outlineLevel="0" collapsed="false">
      <c r="A19" s="6" t="s">
        <v>54</v>
      </c>
      <c r="B19" s="6" t="s">
        <v>58</v>
      </c>
      <c r="C19" s="16" t="n">
        <f aca="false">Entropy_Calc!H25</f>
        <v>0.5832</v>
      </c>
      <c r="D19" s="16" t="n">
        <f aca="false">AHP!D11</f>
        <v>0.6083</v>
      </c>
      <c r="E19" s="13" t="n">
        <f aca="false">C19*D19</f>
        <v>0.35476056</v>
      </c>
      <c r="F19" s="13" t="n">
        <f aca="false">ROUND(E19/SUM($E$18:$E$19),4)</f>
        <v>0.6848</v>
      </c>
      <c r="G19" s="13" t="n">
        <f aca="false">$F$8</f>
        <v>0.2836</v>
      </c>
      <c r="H19" s="13" t="n">
        <f aca="false">ROUND(F19*G19,4)</f>
        <v>0.1942</v>
      </c>
      <c r="I19" s="11" t="n">
        <v>0.1942</v>
      </c>
    </row>
    <row r="20" customFormat="false" ht="15" hidden="false" customHeight="false" outlineLevel="0" collapsed="false">
      <c r="C20" s="12"/>
      <c r="D20" s="12"/>
      <c r="E20" s="12"/>
      <c r="F20" s="12"/>
      <c r="G20" s="12"/>
      <c r="H20" s="12"/>
      <c r="I20" s="12"/>
    </row>
    <row r="21" customFormat="false" ht="15" hidden="false" customHeight="false" outlineLevel="0" collapsed="false">
      <c r="A21" s="6" t="s">
        <v>119</v>
      </c>
      <c r="B21" s="6"/>
      <c r="C21" s="22"/>
      <c r="D21" s="22"/>
      <c r="E21" s="22"/>
      <c r="F21" s="22"/>
      <c r="G21" s="22"/>
      <c r="H21" s="13" t="n">
        <f aca="false">SUM(H13:H19)</f>
        <v>1</v>
      </c>
      <c r="I21" s="13" t="n">
        <f aca="false">SUM(I13:I19)</f>
        <v>1</v>
      </c>
    </row>
  </sheetData>
  <mergeCells count="4">
    <mergeCell ref="A1:I1"/>
    <mergeCell ref="A2:I2"/>
    <mergeCell ref="A4:I4"/>
    <mergeCell ref="A11:I11"/>
  </mergeCells>
  <conditionalFormatting sqref="I6:I8">
    <cfRule type="cellIs" priority="2" operator="equal" aboveAverage="0" equalAverage="0" bottom="0" percent="0" rank="0" text="" dxfId="0">
      <formula>"PASS"</formula>
    </cfRule>
    <cfRule type="cellIs" priority="3" operator="equal" aboveAverage="0" equalAverage="0" bottom="0" percent="0" rank="0" text="" dxfId="1">
      <formula>"CHECK"</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&amp;CPage &amp;P of &amp;N&amp;RTOPSIS paper reproduction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8582"/>
    <pageSetUpPr fitToPage="tru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7" min="2" style="0" width="15"/>
    <col collapsed="false" customWidth="true" hidden="false" outlineLevel="0" max="8" min="8" style="0" width="18"/>
    <col collapsed="false" customWidth="true" hidden="false" outlineLevel="0" max="10" min="9" style="0" width="20"/>
    <col collapsed="false" customWidth="true" hidden="false" outlineLevel="0" max="11" min="11" style="0" width="15"/>
    <col collapsed="false" customWidth="true" hidden="false" outlineLevel="0" max="12" min="12" style="0" width="10"/>
  </cols>
  <sheetData>
    <row r="1" customFormat="false" ht="31.5" hidden="false" customHeight="true" outlineLevel="0" collapsed="false">
      <c r="A1" s="1" t="s">
        <v>120</v>
      </c>
      <c r="B1" s="1"/>
      <c r="C1" s="1"/>
      <c r="D1" s="1"/>
      <c r="E1" s="1"/>
      <c r="F1" s="1"/>
      <c r="G1" s="1"/>
      <c r="H1" s="1"/>
      <c r="I1" s="1"/>
      <c r="J1" s="1"/>
      <c r="K1" s="1"/>
      <c r="L1" s="1"/>
    </row>
    <row r="2" customFormat="false" ht="31.5" hidden="false" customHeight="true" outlineLevel="0" collapsed="false">
      <c r="A2" s="2" t="s">
        <v>121</v>
      </c>
      <c r="B2" s="2"/>
      <c r="C2" s="2"/>
      <c r="D2" s="2"/>
      <c r="E2" s="2"/>
      <c r="F2" s="2"/>
      <c r="G2" s="2"/>
      <c r="H2" s="2"/>
      <c r="I2" s="2"/>
      <c r="J2" s="2"/>
      <c r="K2" s="2"/>
      <c r="L2" s="2"/>
    </row>
    <row r="4" customFormat="false" ht="24" hidden="false" customHeight="true" outlineLevel="0" collapsed="false">
      <c r="A4" s="3" t="s">
        <v>122</v>
      </c>
      <c r="B4" s="3"/>
      <c r="C4" s="3"/>
      <c r="D4" s="3"/>
      <c r="E4" s="3"/>
      <c r="F4" s="3"/>
      <c r="G4" s="3"/>
      <c r="H4" s="3"/>
      <c r="I4" s="3"/>
      <c r="J4" s="3"/>
      <c r="K4" s="3"/>
      <c r="L4" s="3"/>
    </row>
    <row r="5" customFormat="false" ht="15" hidden="false" customHeight="false" outlineLevel="0" collapsed="false">
      <c r="A5" s="14" t="s">
        <v>79</v>
      </c>
      <c r="B5" s="14" t="str">
        <f aca="false">Raw_Data!B$4</f>
        <v>C1</v>
      </c>
      <c r="C5" s="14" t="str">
        <f aca="false">Raw_Data!C$4</f>
        <v>C2</v>
      </c>
      <c r="D5" s="14" t="str">
        <f aca="false">Raw_Data!D$4</f>
        <v>C3</v>
      </c>
      <c r="E5" s="14" t="str">
        <f aca="false">Raw_Data!E$4</f>
        <v>C4</v>
      </c>
      <c r="F5" s="14" t="str">
        <f aca="false">Raw_Data!F$4</f>
        <v>C5</v>
      </c>
      <c r="G5" s="14" t="str">
        <f aca="false">Raw_Data!G$4</f>
        <v>C6</v>
      </c>
      <c r="H5" s="14" t="str">
        <f aca="false">Raw_Data!H$4</f>
        <v>C7</v>
      </c>
    </row>
    <row r="6" customFormat="false" ht="15" hidden="false" customHeight="false" outlineLevel="0" collapsed="false">
      <c r="A6" s="15" t="str">
        <f aca="false">Raw_Data!A10</f>
        <v>A1</v>
      </c>
      <c r="B6" s="16" t="n">
        <f aca="false">Raw_Data!B10/Raw_Data!B$16</f>
        <v>0.202558635394456</v>
      </c>
      <c r="C6" s="16" t="n">
        <f aca="false">Raw_Data!C10/Raw_Data!C$16</f>
        <v>0.2</v>
      </c>
      <c r="D6" s="16" t="n">
        <f aca="false">Raw_Data!D10/Raw_Data!D$16</f>
        <v>0.197916666666667</v>
      </c>
      <c r="E6" s="16" t="n">
        <f aca="false">Raw_Data!E10/Raw_Data!E$16</f>
        <v>0.197026022304833</v>
      </c>
      <c r="F6" s="16" t="n">
        <f aca="false">Raw_Data!F10/Raw_Data!F$16</f>
        <v>0.197297297297297</v>
      </c>
      <c r="G6" s="16" t="n">
        <f aca="false">Raw_Data!G10/Raw_Data!G$16</f>
        <v>0.192982456140351</v>
      </c>
      <c r="H6" s="16" t="n">
        <f aca="false">Raw_Data!H10/Raw_Data!H$16</f>
        <v>0.208053691275168</v>
      </c>
    </row>
    <row r="7" customFormat="false" ht="15" hidden="false" customHeight="false" outlineLevel="0" collapsed="false">
      <c r="A7" s="15" t="str">
        <f aca="false">Raw_Data!A11</f>
        <v>A2</v>
      </c>
      <c r="B7" s="16" t="n">
        <f aca="false">Raw_Data!B11/Raw_Data!B$16</f>
        <v>0.208955223880597</v>
      </c>
      <c r="C7" s="16" t="n">
        <f aca="false">Raw_Data!C11/Raw_Data!C$16</f>
        <v>0.216666666666667</v>
      </c>
      <c r="D7" s="16" t="n">
        <f aca="false">Raw_Data!D11/Raw_Data!D$16</f>
        <v>0.177083333333333</v>
      </c>
      <c r="E7" s="16" t="n">
        <f aca="false">Raw_Data!E11/Raw_Data!E$16</f>
        <v>0.193308550185874</v>
      </c>
      <c r="F7" s="16" t="n">
        <f aca="false">Raw_Data!F11/Raw_Data!F$16</f>
        <v>0.202702702702703</v>
      </c>
      <c r="G7" s="16" t="n">
        <f aca="false">Raw_Data!G11/Raw_Data!G$16</f>
        <v>0.228070175438596</v>
      </c>
      <c r="H7" s="16" t="n">
        <f aca="false">Raw_Data!H11/Raw_Data!H$16</f>
        <v>0.19910514541387</v>
      </c>
    </row>
    <row r="8" customFormat="false" ht="15" hidden="false" customHeight="false" outlineLevel="0" collapsed="false">
      <c r="A8" s="15" t="str">
        <f aca="false">Raw_Data!A12</f>
        <v>A3</v>
      </c>
      <c r="B8" s="16" t="n">
        <f aca="false">Raw_Data!B12/Raw_Data!B$16</f>
        <v>0.198294243070362</v>
      </c>
      <c r="C8" s="16" t="n">
        <f aca="false">Raw_Data!C12/Raw_Data!C$16</f>
        <v>0.183333333333333</v>
      </c>
      <c r="D8" s="16" t="n">
        <f aca="false">Raw_Data!D12/Raw_Data!D$16</f>
        <v>0.21875</v>
      </c>
      <c r="E8" s="16" t="n">
        <f aca="false">Raw_Data!E12/Raw_Data!E$16</f>
        <v>0.211895910780669</v>
      </c>
      <c r="F8" s="16" t="n">
        <f aca="false">Raw_Data!F12/Raw_Data!F$16</f>
        <v>0.186486486486486</v>
      </c>
      <c r="G8" s="16" t="n">
        <f aca="false">Raw_Data!G12/Raw_Data!G$16</f>
        <v>0.192982456140351</v>
      </c>
      <c r="H8" s="16" t="n">
        <f aca="false">Raw_Data!H12/Raw_Data!H$16</f>
        <v>0.205816554809843</v>
      </c>
    </row>
    <row r="9" customFormat="false" ht="15" hidden="false" customHeight="false" outlineLevel="0" collapsed="false">
      <c r="A9" s="15" t="str">
        <f aca="false">Raw_Data!A13</f>
        <v>A4</v>
      </c>
      <c r="B9" s="16" t="n">
        <f aca="false">Raw_Data!B13/Raw_Data!B$16</f>
        <v>0.194029850746269</v>
      </c>
      <c r="C9" s="16" t="n">
        <f aca="false">Raw_Data!C13/Raw_Data!C$16</f>
        <v>0.205555555555556</v>
      </c>
      <c r="D9" s="16" t="n">
        <f aca="false">Raw_Data!D13/Raw_Data!D$16</f>
        <v>0.239583333333333</v>
      </c>
      <c r="E9" s="16" t="n">
        <f aca="false">Raw_Data!E13/Raw_Data!E$16</f>
        <v>0.20817843866171</v>
      </c>
      <c r="F9" s="16" t="n">
        <f aca="false">Raw_Data!F13/Raw_Data!F$16</f>
        <v>0.208108108108108</v>
      </c>
      <c r="G9" s="16" t="n">
        <f aca="false">Raw_Data!G13/Raw_Data!G$16</f>
        <v>0.210526315789474</v>
      </c>
      <c r="H9" s="16" t="n">
        <f aca="false">Raw_Data!H13/Raw_Data!H$16</f>
        <v>0.194630872483221</v>
      </c>
    </row>
    <row r="10" customFormat="false" ht="15" hidden="false" customHeight="false" outlineLevel="0" collapsed="false">
      <c r="A10" s="15" t="str">
        <f aca="false">Raw_Data!A14</f>
        <v>A5</v>
      </c>
      <c r="B10" s="16" t="n">
        <f aca="false">Raw_Data!B14/Raw_Data!B$16</f>
        <v>0.196162046908316</v>
      </c>
      <c r="C10" s="16" t="n">
        <f aca="false">Raw_Data!C14/Raw_Data!C$16</f>
        <v>0.194444444444444</v>
      </c>
      <c r="D10" s="16" t="n">
        <f aca="false">Raw_Data!D14/Raw_Data!D$16</f>
        <v>0.166666666666667</v>
      </c>
      <c r="E10" s="16" t="n">
        <f aca="false">Raw_Data!E14/Raw_Data!E$16</f>
        <v>0.189591078066915</v>
      </c>
      <c r="F10" s="16" t="n">
        <f aca="false">Raw_Data!F14/Raw_Data!F$16</f>
        <v>0.205405405405405</v>
      </c>
      <c r="G10" s="16" t="n">
        <f aca="false">Raw_Data!G14/Raw_Data!G$16</f>
        <v>0.175438596491228</v>
      </c>
      <c r="H10" s="16" t="n">
        <f aca="false">Raw_Data!H14/Raw_Data!H$16</f>
        <v>0.192393736017897</v>
      </c>
    </row>
    <row r="12" customFormat="false" ht="24" hidden="false" customHeight="true" outlineLevel="0" collapsed="false">
      <c r="A12" s="3" t="s">
        <v>123</v>
      </c>
      <c r="B12" s="3"/>
      <c r="C12" s="3"/>
      <c r="D12" s="3"/>
      <c r="E12" s="3"/>
      <c r="F12" s="3"/>
      <c r="G12" s="3"/>
      <c r="H12" s="3"/>
      <c r="I12" s="3"/>
      <c r="J12" s="3"/>
      <c r="K12" s="3"/>
      <c r="L12" s="3"/>
    </row>
    <row r="13" customFormat="false" ht="15" hidden="false" customHeight="false" outlineLevel="0" collapsed="false">
      <c r="A13" s="6" t="s">
        <v>124</v>
      </c>
      <c r="B13" s="16" t="n">
        <f aca="false">Combined_Weights!H13</f>
        <v>0.2415</v>
      </c>
      <c r="C13" s="16" t="n">
        <f aca="false">Combined_Weights!H14</f>
        <v>0.1505</v>
      </c>
      <c r="D13" s="16" t="n">
        <f aca="false">Combined_Weights!H15</f>
        <v>0.1122</v>
      </c>
      <c r="E13" s="16" t="n">
        <f aca="false">Combined_Weights!H16</f>
        <v>0.1051</v>
      </c>
      <c r="F13" s="16" t="n">
        <f aca="false">Combined_Weights!H17</f>
        <v>0.1071</v>
      </c>
      <c r="G13" s="16" t="n">
        <f aca="false">Combined_Weights!H18</f>
        <v>0.0894</v>
      </c>
      <c r="H13" s="16" t="n">
        <f aca="false">Combined_Weights!H19</f>
        <v>0.1942</v>
      </c>
    </row>
    <row r="14" customFormat="false" ht="15" hidden="false" customHeight="false" outlineLevel="0" collapsed="false">
      <c r="A14" s="6" t="s">
        <v>59</v>
      </c>
      <c r="B14" s="15" t="str">
        <f aca="false">Raw_Data!B$7</f>
        <v>Benefit</v>
      </c>
      <c r="C14" s="15" t="str">
        <f aca="false">Raw_Data!C$7</f>
        <v>Cost</v>
      </c>
      <c r="D14" s="15" t="str">
        <f aca="false">Raw_Data!D$7</f>
        <v>Benefit</v>
      </c>
      <c r="E14" s="15" t="str">
        <f aca="false">Raw_Data!E$7</f>
        <v>Benefit</v>
      </c>
      <c r="F14" s="15" t="str">
        <f aca="false">Raw_Data!F$7</f>
        <v>Benefit</v>
      </c>
      <c r="G14" s="15" t="str">
        <f aca="false">Raw_Data!G$7</f>
        <v>Cost</v>
      </c>
      <c r="H14" s="15" t="str">
        <f aca="false">Raw_Data!H$7</f>
        <v>Benefit</v>
      </c>
    </row>
    <row r="15" customFormat="false" ht="15" hidden="false" customHeight="false" outlineLevel="0" collapsed="false">
      <c r="A15" s="14" t="s">
        <v>79</v>
      </c>
      <c r="B15" s="23" t="str">
        <f aca="false">B$5</f>
        <v>C1</v>
      </c>
      <c r="C15" s="23" t="str">
        <f aca="false">C$5</f>
        <v>C2</v>
      </c>
      <c r="D15" s="23" t="str">
        <f aca="false">D$5</f>
        <v>C3</v>
      </c>
      <c r="E15" s="23" t="str">
        <f aca="false">E$5</f>
        <v>C4</v>
      </c>
      <c r="F15" s="23" t="str">
        <f aca="false">F$5</f>
        <v>C5</v>
      </c>
      <c r="G15" s="23" t="str">
        <f aca="false">G$5</f>
        <v>C6</v>
      </c>
      <c r="H15" s="23" t="str">
        <f aca="false">H$5</f>
        <v>C7</v>
      </c>
    </row>
    <row r="16" customFormat="false" ht="15" hidden="false" customHeight="false" outlineLevel="0" collapsed="false">
      <c r="A16" s="17" t="str">
        <f aca="false">A6</f>
        <v>A1</v>
      </c>
      <c r="B16" s="13" t="n">
        <f aca="false">B6*B$13</f>
        <v>0.0489179104477612</v>
      </c>
      <c r="C16" s="13" t="n">
        <f aca="false">C6*C$13</f>
        <v>0.0301</v>
      </c>
      <c r="D16" s="13" t="n">
        <f aca="false">D6*D$13</f>
        <v>0.02220625</v>
      </c>
      <c r="E16" s="13" t="n">
        <f aca="false">E6*E$13</f>
        <v>0.0207074349442379</v>
      </c>
      <c r="F16" s="13" t="n">
        <f aca="false">F6*F$13</f>
        <v>0.0211305405405405</v>
      </c>
      <c r="G16" s="13" t="n">
        <f aca="false">G6*G$13</f>
        <v>0.0172526315789474</v>
      </c>
      <c r="H16" s="13" t="n">
        <f aca="false">H6*H$13</f>
        <v>0.0404040268456376</v>
      </c>
    </row>
    <row r="17" customFormat="false" ht="15" hidden="false" customHeight="false" outlineLevel="0" collapsed="false">
      <c r="A17" s="17" t="str">
        <f aca="false">A7</f>
        <v>A2</v>
      </c>
      <c r="B17" s="13" t="n">
        <f aca="false">B7*B$13</f>
        <v>0.0504626865671642</v>
      </c>
      <c r="C17" s="13" t="n">
        <f aca="false">C7*C$13</f>
        <v>0.0326083333333333</v>
      </c>
      <c r="D17" s="13" t="n">
        <f aca="false">D7*D$13</f>
        <v>0.01986875</v>
      </c>
      <c r="E17" s="13" t="n">
        <f aca="false">E7*E$13</f>
        <v>0.0203167286245353</v>
      </c>
      <c r="F17" s="13" t="n">
        <f aca="false">F7*F$13</f>
        <v>0.0217094594594595</v>
      </c>
      <c r="G17" s="13" t="n">
        <f aca="false">G7*G$13</f>
        <v>0.0203894736842105</v>
      </c>
      <c r="H17" s="13" t="n">
        <f aca="false">H7*H$13</f>
        <v>0.0386662192393736</v>
      </c>
    </row>
    <row r="18" customFormat="false" ht="15" hidden="false" customHeight="false" outlineLevel="0" collapsed="false">
      <c r="A18" s="17" t="str">
        <f aca="false">A8</f>
        <v>A3</v>
      </c>
      <c r="B18" s="13" t="n">
        <f aca="false">B8*B$13</f>
        <v>0.0478880597014925</v>
      </c>
      <c r="C18" s="13" t="n">
        <f aca="false">C8*C$13</f>
        <v>0.0275916666666667</v>
      </c>
      <c r="D18" s="13" t="n">
        <f aca="false">D8*D$13</f>
        <v>0.02454375</v>
      </c>
      <c r="E18" s="13" t="n">
        <f aca="false">E8*E$13</f>
        <v>0.0222702602230483</v>
      </c>
      <c r="F18" s="13" t="n">
        <f aca="false">F8*F$13</f>
        <v>0.0199727027027027</v>
      </c>
      <c r="G18" s="13" t="n">
        <f aca="false">G8*G$13</f>
        <v>0.0172526315789474</v>
      </c>
      <c r="H18" s="13" t="n">
        <f aca="false">H8*H$13</f>
        <v>0.0399695749440716</v>
      </c>
    </row>
    <row r="19" customFormat="false" ht="15" hidden="false" customHeight="false" outlineLevel="0" collapsed="false">
      <c r="A19" s="17" t="str">
        <f aca="false">A9</f>
        <v>A4</v>
      </c>
      <c r="B19" s="13" t="n">
        <f aca="false">B9*B$13</f>
        <v>0.0468582089552239</v>
      </c>
      <c r="C19" s="13" t="n">
        <f aca="false">C9*C$13</f>
        <v>0.0309361111111111</v>
      </c>
      <c r="D19" s="13" t="n">
        <f aca="false">D9*D$13</f>
        <v>0.02688125</v>
      </c>
      <c r="E19" s="13" t="n">
        <f aca="false">E9*E$13</f>
        <v>0.0218795539033457</v>
      </c>
      <c r="F19" s="13" t="n">
        <f aca="false">F9*F$13</f>
        <v>0.0222883783783784</v>
      </c>
      <c r="G19" s="13" t="n">
        <f aca="false">G9*G$13</f>
        <v>0.0188210526315789</v>
      </c>
      <c r="H19" s="13" t="n">
        <f aca="false">H9*H$13</f>
        <v>0.0377973154362416</v>
      </c>
    </row>
    <row r="20" customFormat="false" ht="15" hidden="false" customHeight="false" outlineLevel="0" collapsed="false">
      <c r="A20" s="17" t="str">
        <f aca="false">A10</f>
        <v>A5</v>
      </c>
      <c r="B20" s="13" t="n">
        <f aca="false">B10*B$13</f>
        <v>0.0473731343283582</v>
      </c>
      <c r="C20" s="13" t="n">
        <f aca="false">C10*C$13</f>
        <v>0.0292638888888889</v>
      </c>
      <c r="D20" s="13" t="n">
        <f aca="false">D10*D$13</f>
        <v>0.0187</v>
      </c>
      <c r="E20" s="13" t="n">
        <f aca="false">E10*E$13</f>
        <v>0.0199260223048327</v>
      </c>
      <c r="F20" s="13" t="n">
        <f aca="false">F10*F$13</f>
        <v>0.0219989189189189</v>
      </c>
      <c r="G20" s="13" t="n">
        <f aca="false">G10*G$13</f>
        <v>0.0156842105263158</v>
      </c>
      <c r="H20" s="13" t="n">
        <f aca="false">H10*H$13</f>
        <v>0.0373628635346756</v>
      </c>
    </row>
    <row r="21" customFormat="false" ht="15" hidden="false" customHeight="false" outlineLevel="0" collapsed="false">
      <c r="B21" s="12"/>
      <c r="C21" s="12"/>
      <c r="D21" s="12"/>
      <c r="E21" s="12"/>
      <c r="F21" s="12"/>
      <c r="G21" s="12"/>
      <c r="H21" s="12"/>
    </row>
    <row r="22" customFormat="false" ht="24" hidden="false" customHeight="true" outlineLevel="0" collapsed="false">
      <c r="A22" s="3" t="s">
        <v>125</v>
      </c>
      <c r="B22" s="3"/>
      <c r="C22" s="3"/>
      <c r="D22" s="3"/>
      <c r="E22" s="3"/>
      <c r="F22" s="3"/>
      <c r="G22" s="3"/>
      <c r="H22" s="3"/>
      <c r="I22" s="3"/>
      <c r="J22" s="3"/>
      <c r="K22" s="3"/>
      <c r="L22" s="3"/>
    </row>
    <row r="23" customFormat="false" ht="15" hidden="false" customHeight="false" outlineLevel="0" collapsed="false">
      <c r="A23" s="6" t="s">
        <v>126</v>
      </c>
      <c r="B23" s="13" t="n">
        <f aca="false">IF(B$14="Benefit",MAX(B$16:B$20),MIN(B$16:B$20))</f>
        <v>0.0504626865671642</v>
      </c>
      <c r="C23" s="13" t="n">
        <f aca="false">IF(C$14="Benefit",MAX(C$16:C$20),MIN(C$16:C$20))</f>
        <v>0.0275916666666667</v>
      </c>
      <c r="D23" s="13" t="n">
        <f aca="false">IF(D$14="Benefit",MAX(D$16:D$20),MIN(D$16:D$20))</f>
        <v>0.02688125</v>
      </c>
      <c r="E23" s="13" t="n">
        <f aca="false">IF(E$14="Benefit",MAX(E$16:E$20),MIN(E$16:E$20))</f>
        <v>0.0222702602230483</v>
      </c>
      <c r="F23" s="13" t="n">
        <f aca="false">IF(F$14="Benefit",MAX(F$16:F$20),MIN(F$16:F$20))</f>
        <v>0.0222883783783784</v>
      </c>
      <c r="G23" s="13" t="n">
        <f aca="false">IF(G$14="Benefit",MAX(G$16:G$20),MIN(G$16:G$20))</f>
        <v>0.0156842105263158</v>
      </c>
      <c r="H23" s="13" t="n">
        <f aca="false">IF(H$14="Benefit",MAX(H$16:H$20),MIN(H$16:H$20))</f>
        <v>0.0404040268456376</v>
      </c>
    </row>
    <row r="24" customFormat="false" ht="15" hidden="false" customHeight="false" outlineLevel="0" collapsed="false">
      <c r="A24" s="6" t="s">
        <v>127</v>
      </c>
      <c r="B24" s="13" t="n">
        <f aca="false">IF(B$14="Benefit",MIN(B$16:B$20),MAX(B$16:B$20))</f>
        <v>0.0468582089552239</v>
      </c>
      <c r="C24" s="13" t="n">
        <f aca="false">IF(C$14="Benefit",MIN(C$16:C$20),MAX(C$16:C$20))</f>
        <v>0.0326083333333333</v>
      </c>
      <c r="D24" s="13" t="n">
        <f aca="false">IF(D$14="Benefit",MIN(D$16:D$20),MAX(D$16:D$20))</f>
        <v>0.0187</v>
      </c>
      <c r="E24" s="13" t="n">
        <f aca="false">IF(E$14="Benefit",MIN(E$16:E$20),MAX(E$16:E$20))</f>
        <v>0.0199260223048327</v>
      </c>
      <c r="F24" s="13" t="n">
        <f aca="false">IF(F$14="Benefit",MIN(F$16:F$20),MAX(F$16:F$20))</f>
        <v>0.0199727027027027</v>
      </c>
      <c r="G24" s="13" t="n">
        <f aca="false">IF(G$14="Benefit",MIN(G$16:G$20),MAX(G$16:G$20))</f>
        <v>0.0203894736842105</v>
      </c>
      <c r="H24" s="13" t="n">
        <f aca="false">IF(H$14="Benefit",MIN(H$16:H$20),MAX(H$16:H$20))</f>
        <v>0.0373628635346756</v>
      </c>
    </row>
    <row r="26" customFormat="false" ht="23.85" hidden="false" customHeight="false" outlineLevel="0" collapsed="false">
      <c r="H26" s="14" t="s">
        <v>79</v>
      </c>
      <c r="I26" s="14" t="s">
        <v>128</v>
      </c>
      <c r="J26" s="14" t="s">
        <v>129</v>
      </c>
      <c r="K26" s="14" t="s">
        <v>130</v>
      </c>
      <c r="L26" s="14" t="s">
        <v>131</v>
      </c>
    </row>
    <row r="27" customFormat="false" ht="15" hidden="false" customHeight="false" outlineLevel="0" collapsed="false">
      <c r="H27" s="17" t="str">
        <f aca="false">A16</f>
        <v>A1</v>
      </c>
      <c r="I27" s="13" t="n">
        <f aca="false">SQRT((B16-B$23)^2+(C16-C$23)^2+(D16-D$23)^2+(E16-E$23)^2+(F16-F$23)^2+(G16-G$23)^2+(H16-H$23)^2)</f>
        <v>0.0060643755061296</v>
      </c>
      <c r="J27" s="13" t="n">
        <f aca="false">SQRT((B16-B$24)^2+(C16-C$24)^2+(D16-D$24)^2+(E16-E$24)^2+(F16-F$24)^2+(G16-G$24)^2+(H16-H$24)^2)</f>
        <v>0.00662325767738322</v>
      </c>
      <c r="K27" s="13" t="n">
        <f aca="false">J27/(I27+J27)</f>
        <v>0.522024681954861</v>
      </c>
      <c r="L27" s="17" t="n">
        <f aca="false">RANK(K27,$K$27:$K$31,0)</f>
        <v>3</v>
      </c>
    </row>
    <row r="28" customFormat="false" ht="15" hidden="false" customHeight="false" outlineLevel="0" collapsed="false">
      <c r="H28" s="17" t="str">
        <f aca="false">A17</f>
        <v>A2</v>
      </c>
      <c r="I28" s="13" t="n">
        <f aca="false">SQRT((B17-B$23)^2+(C17-C$23)^2+(D17-D$23)^2+(E17-E$23)^2+(F17-F$23)^2+(G17-G$23)^2+(H17-H$23)^2)</f>
        <v>0.0101810122373439</v>
      </c>
      <c r="J28" s="13" t="n">
        <f aca="false">SQRT((B17-B$24)^2+(C17-C$24)^2+(D17-D$24)^2+(E17-E$24)^2+(F17-F$24)^2+(G17-G$24)^2+(H17-H$24)^2)</f>
        <v>0.00438474023983673</v>
      </c>
      <c r="K28" s="13" t="n">
        <f aca="false">J28/(I28+J28)</f>
        <v>0.301030808171845</v>
      </c>
      <c r="L28" s="17" t="n">
        <f aca="false">RANK(K28,$K$27:$K$31,0)</f>
        <v>5</v>
      </c>
    </row>
    <row r="29" customFormat="false" ht="15" hidden="false" customHeight="false" outlineLevel="0" collapsed="false">
      <c r="H29" s="17" t="str">
        <f aca="false">A18</f>
        <v>A3</v>
      </c>
      <c r="I29" s="13" t="n">
        <f aca="false">SQRT((B18-B$23)^2+(C18-C$23)^2+(D18-D$23)^2+(E18-E$23)^2+(F18-F$23)^2+(G18-G$23)^2+(H18-H$23)^2)</f>
        <v>0.00448371014177617</v>
      </c>
      <c r="J29" s="13" t="n">
        <f aca="false">SQRT((B18-B$24)^2+(C18-C$24)^2+(D18-D$24)^2+(E18-E$24)^2+(F18-F$24)^2+(G18-G$24)^2+(H18-H$24)^2)</f>
        <v>0.0090833432858701</v>
      </c>
      <c r="K29" s="13" t="n">
        <f aca="false">J29/(I29+J29)</f>
        <v>0.669514816486277</v>
      </c>
      <c r="L29" s="17" t="n">
        <f aca="false">RANK(K29,$K$27:$K$31,0)</f>
        <v>1</v>
      </c>
    </row>
    <row r="30" customFormat="false" ht="15" hidden="false" customHeight="false" outlineLevel="0" collapsed="false">
      <c r="H30" s="17" t="str">
        <f aca="false">A19</f>
        <v>A4</v>
      </c>
      <c r="I30" s="13" t="n">
        <f aca="false">SQRT((B19-B$23)^2+(C19-C$23)^2+(D19-D$23)^2+(E19-E$23)^2+(F19-F$23)^2+(G19-G$23)^2+(H19-H$23)^2)</f>
        <v>0.00640038605792156</v>
      </c>
      <c r="J30" s="13" t="n">
        <f aca="false">SQRT((B19-B$24)^2+(C19-C$24)^2+(D19-D$24)^2+(E19-E$24)^2+(F19-F$24)^2+(G19-G$24)^2+(H19-H$24)^2)</f>
        <v>0.00903086437266173</v>
      </c>
      <c r="K30" s="13" t="n">
        <f aca="false">J30/(I30+J30)</f>
        <v>0.585232182789504</v>
      </c>
      <c r="L30" s="17" t="n">
        <f aca="false">RANK(K30,$K$27:$K$31,0)</f>
        <v>2</v>
      </c>
    </row>
    <row r="31" customFormat="false" ht="15" hidden="false" customHeight="false" outlineLevel="0" collapsed="false">
      <c r="H31" s="17" t="str">
        <f aca="false">A20</f>
        <v>A5</v>
      </c>
      <c r="I31" s="13" t="n">
        <f aca="false">SQRT((B20-B$23)^2+(C20-C$23)^2+(D20-D$23)^2+(E20-E$23)^2+(F20-F$23)^2+(G20-G$23)^2+(H20-H$23)^2)</f>
        <v>0.00970064040355669</v>
      </c>
      <c r="J31" s="13" t="n">
        <f aca="false">SQRT((B20-B$24)^2+(C20-C$24)^2+(D20-D$24)^2+(E20-E$24)^2+(F20-F$24)^2+(G20-G$24)^2+(H20-H$24)^2)</f>
        <v>0.00613966695528121</v>
      </c>
      <c r="K31" s="13" t="n">
        <f aca="false">J31/(I31+J31)</f>
        <v>0.387597716142526</v>
      </c>
      <c r="L31" s="17" t="n">
        <f aca="false">RANK(K31,$K$27:$K$31,0)</f>
        <v>4</v>
      </c>
    </row>
  </sheetData>
  <mergeCells count="5">
    <mergeCell ref="A1:L1"/>
    <mergeCell ref="A2:L2"/>
    <mergeCell ref="A4:L4"/>
    <mergeCell ref="A12:L12"/>
    <mergeCell ref="A22:L22"/>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&amp;CPage &amp;P of &amp;N&amp;RTOPSIS paper reproduction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8582"/>
    <pageSetUpPr fitToPage="true"/>
  </sheetPr>
  <dimension ref="A1:L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7" min="2" style="0" width="15"/>
    <col collapsed="false" customWidth="true" hidden="false" outlineLevel="0" max="8" min="8" style="0" width="18"/>
    <col collapsed="false" customWidth="true" hidden="false" outlineLevel="0" max="10" min="9" style="0" width="20"/>
    <col collapsed="false" customWidth="true" hidden="false" outlineLevel="0" max="11" min="11" style="0" width="15"/>
    <col collapsed="false" customWidth="true" hidden="false" outlineLevel="0" max="12" min="12" style="0" width="10"/>
  </cols>
  <sheetData>
    <row r="1" customFormat="false" ht="31.5" hidden="false" customHeight="true" outlineLevel="0" collapsed="false">
      <c r="A1" s="1" t="s">
        <v>132</v>
      </c>
      <c r="B1" s="1"/>
      <c r="C1" s="1"/>
      <c r="D1" s="1"/>
      <c r="E1" s="1"/>
      <c r="F1" s="1"/>
      <c r="G1" s="1"/>
      <c r="H1" s="1"/>
      <c r="I1" s="1"/>
      <c r="J1" s="1"/>
      <c r="K1" s="1"/>
      <c r="L1" s="1"/>
    </row>
    <row r="2" customFormat="false" ht="31.5" hidden="false" customHeight="true" outlineLevel="0" collapsed="false">
      <c r="A2" s="2" t="s">
        <v>133</v>
      </c>
      <c r="B2" s="2"/>
      <c r="C2" s="2"/>
      <c r="D2" s="2"/>
      <c r="E2" s="2"/>
      <c r="F2" s="2"/>
      <c r="G2" s="2"/>
      <c r="H2" s="2"/>
      <c r="I2" s="2"/>
      <c r="J2" s="2"/>
      <c r="K2" s="2"/>
      <c r="L2" s="2"/>
    </row>
    <row r="4" customFormat="false" ht="15" hidden="false" customHeight="true" outlineLevel="0" collapsed="false">
      <c r="A4" s="24" t="s">
        <v>134</v>
      </c>
      <c r="B4" s="24"/>
      <c r="C4" s="24"/>
      <c r="D4" s="24"/>
      <c r="E4" s="24"/>
      <c r="F4" s="24"/>
      <c r="G4" s="24"/>
      <c r="H4" s="24"/>
      <c r="I4" s="24"/>
      <c r="J4" s="24"/>
      <c r="K4" s="24"/>
      <c r="L4" s="24"/>
    </row>
    <row r="5" customFormat="false" ht="15" hidden="false" customHeight="false" outlineLevel="0" collapsed="false">
      <c r="A5" s="24"/>
      <c r="B5" s="24"/>
      <c r="C5" s="24"/>
      <c r="D5" s="24"/>
      <c r="E5" s="24"/>
      <c r="F5" s="24"/>
      <c r="G5" s="24"/>
      <c r="H5" s="24"/>
      <c r="I5" s="24"/>
      <c r="J5" s="24"/>
      <c r="K5" s="24"/>
      <c r="L5" s="24"/>
    </row>
    <row r="6" customFormat="false" ht="15" hidden="false" customHeight="false" outlineLevel="0" collapsed="false">
      <c r="A6" s="24"/>
      <c r="B6" s="24"/>
      <c r="C6" s="24"/>
      <c r="D6" s="24"/>
      <c r="E6" s="24"/>
      <c r="F6" s="24"/>
      <c r="G6" s="24"/>
      <c r="H6" s="24"/>
      <c r="I6" s="24"/>
      <c r="J6" s="24"/>
      <c r="K6" s="24"/>
      <c r="L6" s="24"/>
    </row>
    <row r="8" customFormat="false" ht="24" hidden="false" customHeight="true" outlineLevel="0" collapsed="false">
      <c r="A8" s="3" t="s">
        <v>135</v>
      </c>
      <c r="B8" s="3"/>
      <c r="C8" s="3"/>
      <c r="D8" s="3"/>
      <c r="E8" s="3"/>
      <c r="F8" s="3"/>
      <c r="G8" s="3"/>
      <c r="H8" s="3"/>
      <c r="I8" s="3"/>
      <c r="J8" s="3"/>
      <c r="K8" s="3"/>
      <c r="L8" s="3"/>
    </row>
    <row r="9" customFormat="false" ht="15" hidden="false" customHeight="false" outlineLevel="0" collapsed="false">
      <c r="A9" s="14" t="s">
        <v>79</v>
      </c>
      <c r="B9" s="14" t="str">
        <f aca="false">TOPSIS!B$5</f>
        <v>C1</v>
      </c>
      <c r="C9" s="14" t="str">
        <f aca="false">TOPSIS!C$5</f>
        <v>C2</v>
      </c>
      <c r="D9" s="14" t="str">
        <f aca="false">TOPSIS!D$5</f>
        <v>C3</v>
      </c>
      <c r="E9" s="14" t="str">
        <f aca="false">TOPSIS!E$5</f>
        <v>C4</v>
      </c>
      <c r="F9" s="14" t="str">
        <f aca="false">TOPSIS!F$5</f>
        <v>C5</v>
      </c>
      <c r="G9" s="14" t="str">
        <f aca="false">TOPSIS!G$5</f>
        <v>C6</v>
      </c>
      <c r="H9" s="14" t="str">
        <f aca="false">TOPSIS!H$5</f>
        <v>C7</v>
      </c>
    </row>
    <row r="10" customFormat="false" ht="15" hidden="false" customHeight="false" outlineLevel="0" collapsed="false">
      <c r="A10" s="15" t="str">
        <f aca="false">TOPSIS!A6</f>
        <v>A1</v>
      </c>
      <c r="B10" s="16" t="n">
        <f aca="false">Combined_Weights!H13</f>
        <v>0.2415</v>
      </c>
      <c r="C10" s="16" t="n">
        <f aca="false">Combined_Weights!H15</f>
        <v>0.1122</v>
      </c>
      <c r="D10" s="16" t="n">
        <f aca="false">Combined_Weights!H14</f>
        <v>0.1505</v>
      </c>
      <c r="E10" s="16" t="n">
        <f aca="false">Combined_Weights!H16</f>
        <v>0.1051</v>
      </c>
      <c r="F10" s="16" t="n">
        <f aca="false">Combined_Weights!H17</f>
        <v>0.1071</v>
      </c>
      <c r="G10" s="16" t="n">
        <f aca="false">Combined_Weights!H18</f>
        <v>0.0894</v>
      </c>
      <c r="H10" s="16" t="n">
        <f aca="false">Combined_Weights!H19</f>
        <v>0.1942</v>
      </c>
    </row>
    <row r="11" customFormat="false" ht="15" hidden="false" customHeight="false" outlineLevel="0" collapsed="false">
      <c r="A11" s="15" t="str">
        <f aca="false">TOPSIS!A7</f>
        <v>A2</v>
      </c>
      <c r="B11" s="16" t="n">
        <f aca="false">Combined_Weights!H13</f>
        <v>0.2415</v>
      </c>
      <c r="C11" s="16" t="n">
        <f aca="false">Combined_Weights!H14</f>
        <v>0.1505</v>
      </c>
      <c r="D11" s="16" t="n">
        <f aca="false">Combined_Weights!H14</f>
        <v>0.1505</v>
      </c>
      <c r="E11" s="16" t="n">
        <f aca="false">Combined_Weights!H16</f>
        <v>0.1051</v>
      </c>
      <c r="F11" s="16" t="n">
        <f aca="false">Combined_Weights!H17</f>
        <v>0.1071</v>
      </c>
      <c r="G11" s="16" t="n">
        <f aca="false">Combined_Weights!H18</f>
        <v>0.0894</v>
      </c>
      <c r="H11" s="16" t="n">
        <f aca="false">Combined_Weights!H19</f>
        <v>0.1942</v>
      </c>
    </row>
    <row r="12" customFormat="false" ht="15" hidden="false" customHeight="false" outlineLevel="0" collapsed="false">
      <c r="A12" s="15" t="str">
        <f aca="false">TOPSIS!A8</f>
        <v>A3</v>
      </c>
      <c r="B12" s="16" t="n">
        <f aca="false">Combined_Weights!H13</f>
        <v>0.2415</v>
      </c>
      <c r="C12" s="16" t="n">
        <f aca="false">Combined_Weights!H14</f>
        <v>0.1505</v>
      </c>
      <c r="D12" s="16" t="n">
        <f aca="false">Combined_Weights!H14</f>
        <v>0.1505</v>
      </c>
      <c r="E12" s="16" t="n">
        <f aca="false">Combined_Weights!H16</f>
        <v>0.1051</v>
      </c>
      <c r="F12" s="16" t="n">
        <f aca="false">Combined_Weights!H17</f>
        <v>0.1071</v>
      </c>
      <c r="G12" s="16" t="n">
        <f aca="false">Combined_Weights!H18</f>
        <v>0.0894</v>
      </c>
      <c r="H12" s="16" t="n">
        <f aca="false">Combined_Weights!H19</f>
        <v>0.1942</v>
      </c>
    </row>
    <row r="13" customFormat="false" ht="15" hidden="false" customHeight="false" outlineLevel="0" collapsed="false">
      <c r="A13" s="15" t="str">
        <f aca="false">TOPSIS!A9</f>
        <v>A4</v>
      </c>
      <c r="B13" s="16" t="n">
        <f aca="false">Combined_Weights!H13</f>
        <v>0.2415</v>
      </c>
      <c r="C13" s="16" t="n">
        <f aca="false">Combined_Weights!H14</f>
        <v>0.1505</v>
      </c>
      <c r="D13" s="16" t="n">
        <f aca="false">Combined_Weights!H14</f>
        <v>0.1505</v>
      </c>
      <c r="E13" s="16" t="n">
        <f aca="false">Combined_Weights!H16</f>
        <v>0.1051</v>
      </c>
      <c r="F13" s="16" t="n">
        <f aca="false">Combined_Weights!H17</f>
        <v>0.1071</v>
      </c>
      <c r="G13" s="16" t="n">
        <f aca="false">Combined_Weights!H18</f>
        <v>0.0894</v>
      </c>
      <c r="H13" s="16" t="n">
        <f aca="false">Combined_Weights!H19</f>
        <v>0.1942</v>
      </c>
    </row>
    <row r="14" customFormat="false" ht="15" hidden="false" customHeight="false" outlineLevel="0" collapsed="false">
      <c r="A14" s="15" t="str">
        <f aca="false">TOPSIS!A10</f>
        <v>A5</v>
      </c>
      <c r="B14" s="16" t="n">
        <f aca="false">Combined_Weights!H13</f>
        <v>0.2415</v>
      </c>
      <c r="C14" s="16" t="n">
        <f aca="false">Combined_Weights!H14</f>
        <v>0.1505</v>
      </c>
      <c r="D14" s="16" t="n">
        <f aca="false">Combined_Weights!H14</f>
        <v>0.1505</v>
      </c>
      <c r="E14" s="16" t="n">
        <f aca="false">Combined_Weights!H16</f>
        <v>0.1051</v>
      </c>
      <c r="F14" s="16" t="n">
        <f aca="false">Combined_Weights!H17</f>
        <v>0.1071</v>
      </c>
      <c r="G14" s="16" t="n">
        <f aca="false">Combined_Weights!H18</f>
        <v>0.0894</v>
      </c>
      <c r="H14" s="16" t="n">
        <f aca="false">Combined_Weights!H19</f>
        <v>0.1942</v>
      </c>
    </row>
    <row r="16" customFormat="false" ht="24" hidden="false" customHeight="true" outlineLevel="0" collapsed="false">
      <c r="A16" s="3" t="s">
        <v>136</v>
      </c>
      <c r="B16" s="3"/>
      <c r="C16" s="3"/>
      <c r="D16" s="3"/>
      <c r="E16" s="3"/>
      <c r="F16" s="3"/>
      <c r="G16" s="3"/>
      <c r="H16" s="3"/>
      <c r="I16" s="3"/>
      <c r="J16" s="3"/>
      <c r="K16" s="3"/>
      <c r="L16" s="3"/>
    </row>
    <row r="17" customFormat="false" ht="15" hidden="false" customHeight="false" outlineLevel="0" collapsed="false">
      <c r="A17" s="14" t="s">
        <v>79</v>
      </c>
      <c r="B17" s="14" t="str">
        <f aca="false">TOPSIS!B$5</f>
        <v>C1</v>
      </c>
      <c r="C17" s="14" t="str">
        <f aca="false">TOPSIS!C$5</f>
        <v>C2</v>
      </c>
      <c r="D17" s="14" t="str">
        <f aca="false">TOPSIS!D$5</f>
        <v>C3</v>
      </c>
      <c r="E17" s="14" t="str">
        <f aca="false">TOPSIS!E$5</f>
        <v>C4</v>
      </c>
      <c r="F17" s="14" t="str">
        <f aca="false">TOPSIS!F$5</f>
        <v>C5</v>
      </c>
      <c r="G17" s="14" t="str">
        <f aca="false">TOPSIS!G$5</f>
        <v>C6</v>
      </c>
      <c r="H17" s="14" t="str">
        <f aca="false">TOPSIS!H$5</f>
        <v>C7</v>
      </c>
    </row>
    <row r="18" customFormat="false" ht="15" hidden="false" customHeight="false" outlineLevel="0" collapsed="false">
      <c r="A18" s="17" t="str">
        <f aca="false">A10</f>
        <v>A1</v>
      </c>
      <c r="B18" s="16" t="n">
        <f aca="false">TOPSIS!B6*B10</f>
        <v>0.0489179104477612</v>
      </c>
      <c r="C18" s="16" t="n">
        <f aca="false">TOPSIS!C6*C10</f>
        <v>0.02244</v>
      </c>
      <c r="D18" s="16" t="n">
        <f aca="false">TOPSIS!D6*D10</f>
        <v>0.0297864583333333</v>
      </c>
      <c r="E18" s="16" t="n">
        <f aca="false">TOPSIS!E6*E10</f>
        <v>0.0207074349442379</v>
      </c>
      <c r="F18" s="16" t="n">
        <f aca="false">TOPSIS!F6*F10</f>
        <v>0.0211305405405405</v>
      </c>
      <c r="G18" s="16" t="n">
        <f aca="false">TOPSIS!G6*G10</f>
        <v>0.0172526315789474</v>
      </c>
      <c r="H18" s="16" t="n">
        <f aca="false">TOPSIS!H6*H10</f>
        <v>0.0404040268456376</v>
      </c>
    </row>
    <row r="19" customFormat="false" ht="15" hidden="false" customHeight="false" outlineLevel="0" collapsed="false">
      <c r="A19" s="17" t="str">
        <f aca="false">A11</f>
        <v>A2</v>
      </c>
      <c r="B19" s="16" t="n">
        <f aca="false">TOPSIS!B7*B11</f>
        <v>0.0504626865671642</v>
      </c>
      <c r="C19" s="16" t="n">
        <f aca="false">TOPSIS!C7*C11</f>
        <v>0.0326083333333333</v>
      </c>
      <c r="D19" s="16" t="n">
        <f aca="false">TOPSIS!D7*D11</f>
        <v>0.0266510416666667</v>
      </c>
      <c r="E19" s="16" t="n">
        <f aca="false">TOPSIS!E7*E11</f>
        <v>0.0203167286245353</v>
      </c>
      <c r="F19" s="16" t="n">
        <f aca="false">TOPSIS!F7*F11</f>
        <v>0.0217094594594595</v>
      </c>
      <c r="G19" s="16" t="n">
        <f aca="false">TOPSIS!G7*G11</f>
        <v>0.0203894736842105</v>
      </c>
      <c r="H19" s="16" t="n">
        <f aca="false">TOPSIS!H7*H11</f>
        <v>0.0386662192393736</v>
      </c>
    </row>
    <row r="20" customFormat="false" ht="15" hidden="false" customHeight="false" outlineLevel="0" collapsed="false">
      <c r="A20" s="17" t="str">
        <f aca="false">A12</f>
        <v>A3</v>
      </c>
      <c r="B20" s="16" t="n">
        <f aca="false">TOPSIS!B8*B12</f>
        <v>0.0478880597014925</v>
      </c>
      <c r="C20" s="16" t="n">
        <f aca="false">TOPSIS!C8*C12</f>
        <v>0.0275916666666667</v>
      </c>
      <c r="D20" s="16" t="n">
        <f aca="false">TOPSIS!D8*D12</f>
        <v>0.032921875</v>
      </c>
      <c r="E20" s="16" t="n">
        <f aca="false">TOPSIS!E8*E12</f>
        <v>0.0222702602230483</v>
      </c>
      <c r="F20" s="16" t="n">
        <f aca="false">TOPSIS!F8*F12</f>
        <v>0.0199727027027027</v>
      </c>
      <c r="G20" s="16" t="n">
        <f aca="false">TOPSIS!G8*G12</f>
        <v>0.0172526315789474</v>
      </c>
      <c r="H20" s="16" t="n">
        <f aca="false">TOPSIS!H8*H12</f>
        <v>0.0399695749440716</v>
      </c>
    </row>
    <row r="21" customFormat="false" ht="15" hidden="false" customHeight="false" outlineLevel="0" collapsed="false">
      <c r="A21" s="17" t="str">
        <f aca="false">A13</f>
        <v>A4</v>
      </c>
      <c r="B21" s="16" t="n">
        <f aca="false">TOPSIS!B9*B13</f>
        <v>0.0468582089552239</v>
      </c>
      <c r="C21" s="16" t="n">
        <f aca="false">TOPSIS!C9*C13</f>
        <v>0.0309361111111111</v>
      </c>
      <c r="D21" s="16" t="n">
        <f aca="false">TOPSIS!D9*D13</f>
        <v>0.0360572916666667</v>
      </c>
      <c r="E21" s="16" t="n">
        <f aca="false">TOPSIS!E9*E13</f>
        <v>0.0218795539033457</v>
      </c>
      <c r="F21" s="16" t="n">
        <f aca="false">TOPSIS!F9*F13</f>
        <v>0.0222883783783784</v>
      </c>
      <c r="G21" s="16" t="n">
        <f aca="false">TOPSIS!G9*G13</f>
        <v>0.0188210526315789</v>
      </c>
      <c r="H21" s="16" t="n">
        <f aca="false">TOPSIS!H9*H13</f>
        <v>0.0377973154362416</v>
      </c>
    </row>
    <row r="22" customFormat="false" ht="15" hidden="false" customHeight="false" outlineLevel="0" collapsed="false">
      <c r="A22" s="17" t="str">
        <f aca="false">A14</f>
        <v>A5</v>
      </c>
      <c r="B22" s="16" t="n">
        <f aca="false">TOPSIS!B10*B14</f>
        <v>0.0473731343283582</v>
      </c>
      <c r="C22" s="16" t="n">
        <f aca="false">TOPSIS!C10*C14</f>
        <v>0.0292638888888889</v>
      </c>
      <c r="D22" s="16" t="n">
        <f aca="false">TOPSIS!D10*D14</f>
        <v>0.0250833333333333</v>
      </c>
      <c r="E22" s="16" t="n">
        <f aca="false">TOPSIS!E10*E14</f>
        <v>0.0199260223048327</v>
      </c>
      <c r="F22" s="16" t="n">
        <f aca="false">TOPSIS!F10*F14</f>
        <v>0.0219989189189189</v>
      </c>
      <c r="G22" s="16" t="n">
        <f aca="false">TOPSIS!G10*G14</f>
        <v>0.0156842105263158</v>
      </c>
      <c r="H22" s="16" t="n">
        <f aca="false">TOPSIS!H10*H14</f>
        <v>0.0373628635346756</v>
      </c>
    </row>
    <row r="23" customFormat="false" ht="15" hidden="false" customHeight="false" outlineLevel="0" collapsed="false">
      <c r="B23" s="12"/>
      <c r="C23" s="12"/>
      <c r="D23" s="12"/>
      <c r="E23" s="12"/>
      <c r="F23" s="12"/>
      <c r="G23" s="12"/>
      <c r="H23" s="12"/>
    </row>
    <row r="24" customFormat="false" ht="24" hidden="false" customHeight="true" outlineLevel="0" collapsed="false">
      <c r="A24" s="3" t="s">
        <v>137</v>
      </c>
      <c r="B24" s="3"/>
      <c r="C24" s="3"/>
      <c r="D24" s="3"/>
      <c r="E24" s="3"/>
      <c r="F24" s="3"/>
      <c r="G24" s="3"/>
      <c r="H24" s="3"/>
      <c r="I24" s="3"/>
      <c r="J24" s="3"/>
      <c r="K24" s="3"/>
      <c r="L24" s="3"/>
    </row>
    <row r="25" customFormat="false" ht="15" hidden="false" customHeight="false" outlineLevel="0" collapsed="false">
      <c r="A25" s="6" t="s">
        <v>126</v>
      </c>
      <c r="B25" s="16" t="n">
        <f aca="false">IF(TOPSIS!B$14="Benefit",MAX(B$18:B$22),MIN(B$18:B$22))</f>
        <v>0.0504626865671642</v>
      </c>
      <c r="C25" s="16" t="n">
        <f aca="false">IF(TOPSIS!C$14="Benefit",MAX(C$18:C$22),MIN(C$18:C$22))</f>
        <v>0.02244</v>
      </c>
      <c r="D25" s="16" t="n">
        <f aca="false">IF(TOPSIS!D$14="Benefit",MAX(D$18:D$22),MIN(D$18:D$22))</f>
        <v>0.0360572916666667</v>
      </c>
      <c r="E25" s="16" t="n">
        <f aca="false">IF(TOPSIS!E$14="Benefit",MAX(E$18:E$22),MIN(E$18:E$22))</f>
        <v>0.0222702602230483</v>
      </c>
      <c r="F25" s="16" t="n">
        <f aca="false">IF(TOPSIS!F$14="Benefit",MAX(F$18:F$22),MIN(F$18:F$22))</f>
        <v>0.0222883783783784</v>
      </c>
      <c r="G25" s="16" t="n">
        <f aca="false">IF(TOPSIS!G$14="Benefit",MAX(G$18:G$22),MIN(G$18:G$22))</f>
        <v>0.0156842105263158</v>
      </c>
      <c r="H25" s="16" t="n">
        <f aca="false">IF(TOPSIS!H$14="Benefit",MAX(H$18:H$22),MIN(H$18:H$22))</f>
        <v>0.0404040268456376</v>
      </c>
    </row>
    <row r="26" customFormat="false" ht="15" hidden="false" customHeight="false" outlineLevel="0" collapsed="false">
      <c r="A26" s="6" t="s">
        <v>127</v>
      </c>
      <c r="B26" s="16" t="n">
        <f aca="false">IF(TOPSIS!B$14="Benefit",MIN(B$18:B$22),MAX(B$18:B$22))</f>
        <v>0.0468582089552239</v>
      </c>
      <c r="C26" s="16" t="n">
        <f aca="false">IF(TOPSIS!C$14="Benefit",MIN(C$18:C$22),MAX(C$18:C$22))</f>
        <v>0.0326083333333333</v>
      </c>
      <c r="D26" s="16" t="n">
        <f aca="false">IF(TOPSIS!D$14="Benefit",MIN(D$18:D$22),MAX(D$18:D$22))</f>
        <v>0.0250833333333333</v>
      </c>
      <c r="E26" s="16" t="n">
        <f aca="false">IF(TOPSIS!E$14="Benefit",MIN(E$18:E$22),MAX(E$18:E$22))</f>
        <v>0.0199260223048327</v>
      </c>
      <c r="F26" s="16" t="n">
        <f aca="false">IF(TOPSIS!F$14="Benefit",MIN(F$18:F$22),MAX(F$18:F$22))</f>
        <v>0.0199727027027027</v>
      </c>
      <c r="G26" s="16" t="n">
        <f aca="false">IF(TOPSIS!G$14="Benefit",MIN(G$18:G$22),MAX(G$18:G$22))</f>
        <v>0.0203894736842105</v>
      </c>
      <c r="H26" s="16" t="n">
        <f aca="false">IF(TOPSIS!H$14="Benefit",MIN(H$18:H$22),MAX(H$18:H$22))</f>
        <v>0.0373628635346756</v>
      </c>
    </row>
    <row r="28" customFormat="false" ht="23.85" hidden="false" customHeight="false" outlineLevel="0" collapsed="false">
      <c r="H28" s="14" t="s">
        <v>79</v>
      </c>
      <c r="I28" s="14" t="s">
        <v>128</v>
      </c>
      <c r="J28" s="14" t="s">
        <v>129</v>
      </c>
      <c r="K28" s="14" t="s">
        <v>130</v>
      </c>
      <c r="L28" s="14" t="s">
        <v>131</v>
      </c>
    </row>
    <row r="29" customFormat="false" ht="15" hidden="false" customHeight="false" outlineLevel="0" collapsed="false">
      <c r="H29" s="17" t="str">
        <f aca="false">A18</f>
        <v>A1</v>
      </c>
      <c r="I29" s="13" t="n">
        <f aca="false">SQRT((B18-B$25)^2+(C18-C$25)^2+(D18-D$25)^2+(E18-E$25)^2+(F18-F$25)^2+(G18-G$25)^2+(H18-H$25)^2)</f>
        <v>0.00692478446326512</v>
      </c>
      <c r="J29" s="13" t="n">
        <f aca="false">SQRT((B18-B$26)^2+(C18-C$26)^2+(D18-D$26)^2+(E18-E$26)^2+(F18-F$26)^2+(G18-G$26)^2+(H18-H$26)^2)</f>
        <v>0.0122799187550573</v>
      </c>
      <c r="K29" s="13" t="n">
        <f aca="false">J29/(I29+J29)</f>
        <v>0.639422469353316</v>
      </c>
      <c r="L29" s="17" t="n">
        <f aca="false">RANK(K29,$K$29:$K$33,0)</f>
        <v>1</v>
      </c>
    </row>
    <row r="30" customFormat="false" ht="15" hidden="false" customHeight="false" outlineLevel="0" collapsed="false">
      <c r="H30" s="17" t="str">
        <f aca="false">A19</f>
        <v>A2</v>
      </c>
      <c r="I30" s="13" t="n">
        <f aca="false">SQRT((B19-B$25)^2+(C19-C$25)^2+(D19-D$25)^2+(E19-E$25)^2+(F19-F$25)^2+(G19-G$25)^2+(H19-H$25)^2)</f>
        <v>0.0148722376030905</v>
      </c>
      <c r="J30" s="13" t="n">
        <f aca="false">SQRT((B19-B$26)^2+(C19-C$26)^2+(D19-D$26)^2+(E19-E$26)^2+(F19-F$26)^2+(G19-G$26)^2+(H19-H$26)^2)</f>
        <v>0.00450751370788223</v>
      </c>
      <c r="K30" s="13" t="n">
        <f aca="false">J30/(I30+J30)</f>
        <v>0.232588831278247</v>
      </c>
      <c r="L30" s="17" t="n">
        <f aca="false">RANK(K30,$K$29:$K$33,0)</f>
        <v>5</v>
      </c>
    </row>
    <row r="31" customFormat="false" ht="15" hidden="false" customHeight="false" outlineLevel="0" collapsed="false">
      <c r="H31" s="17" t="str">
        <f aca="false">A20</f>
        <v>A3</v>
      </c>
      <c r="I31" s="13" t="n">
        <f aca="false">SQRT((B20-B$25)^2+(C20-C$25)^2+(D20-D$25)^2+(E20-E$25)^2+(F20-F$25)^2+(G20-G$25)^2+(H20-H$25)^2)</f>
        <v>0.00714214656133028</v>
      </c>
      <c r="J31" s="13" t="n">
        <f aca="false">SQRT((B20-B$26)^2+(C20-C$26)^2+(D20-D$26)^2+(E20-E$26)^2+(F20-F$26)^2+(G20-G$26)^2+(H20-H$26)^2)</f>
        <v>0.0104785708303437</v>
      </c>
      <c r="K31" s="13" t="n">
        <f aca="false">J31/(I31+J31)</f>
        <v>0.594673338061422</v>
      </c>
      <c r="L31" s="17" t="n">
        <f aca="false">RANK(K31,$K$29:$K$33,0)</f>
        <v>2</v>
      </c>
    </row>
    <row r="32" customFormat="false" ht="15" hidden="false" customHeight="false" outlineLevel="0" collapsed="false">
      <c r="H32" s="17" t="str">
        <f aca="false">A21</f>
        <v>A4</v>
      </c>
      <c r="I32" s="13" t="n">
        <f aca="false">SQRT((B21-B$25)^2+(C21-C$25)^2+(D21-D$25)^2+(E21-E$25)^2+(F21-F$25)^2+(G21-G$25)^2+(H21-H$25)^2)</f>
        <v>0.0100976995925214</v>
      </c>
      <c r="J32" s="13" t="n">
        <f aca="false">SQRT((B21-B$26)^2+(C21-C$26)^2+(D21-D$26)^2+(E21-E$26)^2+(F21-F$26)^2+(G21-G$26)^2+(H21-H$26)^2)</f>
        <v>0.0116211626465103</v>
      </c>
      <c r="K32" s="13" t="n">
        <f aca="false">J32/(I32+J32)</f>
        <v>0.535072349491012</v>
      </c>
      <c r="L32" s="17" t="n">
        <f aca="false">RANK(K32,$K$29:$K$33,0)</f>
        <v>3</v>
      </c>
    </row>
    <row r="33" customFormat="false" ht="15" hidden="false" customHeight="false" outlineLevel="0" collapsed="false">
      <c r="H33" s="17" t="str">
        <f aca="false">A22</f>
        <v>A5</v>
      </c>
      <c r="I33" s="13" t="n">
        <f aca="false">SQRT((B22-B$25)^2+(C22-C$25)^2+(D22-D$25)^2+(E22-E$25)^2+(F22-F$25)^2+(G22-G$25)^2+(H22-H$25)^2)</f>
        <v>0.0138335269033519</v>
      </c>
      <c r="J33" s="13" t="n">
        <f aca="false">SQRT((B22-B$26)^2+(C22-C$26)^2+(D22-D$26)^2+(E22-E$26)^2+(F22-F$26)^2+(G22-G$26)^2+(H22-H$26)^2)</f>
        <v>0.00613966695528121</v>
      </c>
      <c r="K33" s="13" t="n">
        <f aca="false">J33/(I33+J33)</f>
        <v>0.307395351927025</v>
      </c>
      <c r="L33" s="17" t="n">
        <f aca="false">RANK(K33,$K$29:$K$33,0)</f>
        <v>4</v>
      </c>
    </row>
  </sheetData>
  <mergeCells count="6">
    <mergeCell ref="A1:L1"/>
    <mergeCell ref="A2:L2"/>
    <mergeCell ref="A4:L6"/>
    <mergeCell ref="A8:L8"/>
    <mergeCell ref="A16:L16"/>
    <mergeCell ref="A24:L24"/>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&amp;CPage &amp;P of &amp;N&amp;RTOPSIS paper reproduction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8582"/>
    <pageSetUpPr fitToPage="tru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7"/>
    <col collapsed="false" customWidth="true" hidden="false" outlineLevel="0" max="4" min="2" style="0" width="15"/>
    <col collapsed="false" customWidth="true" hidden="false" outlineLevel="0" max="6" min="5" style="0" width="12"/>
    <col collapsed="false" customWidth="true" hidden="false" outlineLevel="0" max="7" min="7" style="0" width="24"/>
    <col collapsed="false" customWidth="true" hidden="false" outlineLevel="0" max="8" min="8" style="0" width="22"/>
  </cols>
  <sheetData>
    <row r="1" customFormat="false" ht="31.5" hidden="false" customHeight="true" outlineLevel="0" collapsed="false">
      <c r="A1" s="1" t="s">
        <v>138</v>
      </c>
      <c r="B1" s="1"/>
      <c r="C1" s="1"/>
      <c r="D1" s="1"/>
      <c r="E1" s="1"/>
      <c r="F1" s="1"/>
      <c r="G1" s="1"/>
      <c r="H1" s="1"/>
    </row>
    <row r="2" customFormat="false" ht="31.5" hidden="false" customHeight="true" outlineLevel="0" collapsed="false">
      <c r="A2" s="2" t="s">
        <v>139</v>
      </c>
      <c r="B2" s="2"/>
      <c r="C2" s="2"/>
      <c r="D2" s="2"/>
      <c r="E2" s="2"/>
      <c r="F2" s="2"/>
      <c r="G2" s="2"/>
      <c r="H2" s="2"/>
    </row>
    <row r="4" customFormat="false" ht="15" hidden="false" customHeight="false" outlineLevel="0" collapsed="false">
      <c r="A4" s="14" t="s">
        <v>111</v>
      </c>
      <c r="B4" s="14" t="s">
        <v>140</v>
      </c>
      <c r="C4" s="14" t="s">
        <v>109</v>
      </c>
      <c r="D4" s="14" t="s">
        <v>110</v>
      </c>
      <c r="E4" s="14" t="s">
        <v>141</v>
      </c>
      <c r="F4" s="14" t="s">
        <v>142</v>
      </c>
      <c r="G4" s="14" t="s">
        <v>143</v>
      </c>
      <c r="H4" s="14" t="s">
        <v>35</v>
      </c>
    </row>
    <row r="5" customFormat="false" ht="15" hidden="false" customHeight="false" outlineLevel="0" collapsed="false">
      <c r="A5" s="6" t="s">
        <v>144</v>
      </c>
      <c r="B5" s="16" t="n">
        <f aca="false">Entropy_Calc!B24</f>
        <v>0.386129200876844</v>
      </c>
      <c r="C5" s="16" t="n">
        <f aca="false">Entropy_Calc!B25</f>
        <v>0.3862</v>
      </c>
      <c r="D5" s="13" t="n">
        <f aca="false">B5-C5</f>
        <v>-7.07991231556071E-005</v>
      </c>
      <c r="E5" s="22" t="n">
        <v>0.0002</v>
      </c>
      <c r="F5" s="17" t="str">
        <f aca="false">IF(ABS(D5)&lt;=E5,"PASS","CHECK")</f>
        <v>PASS</v>
      </c>
      <c r="G5" s="6" t="s">
        <v>145</v>
      </c>
      <c r="H5" s="6" t="s">
        <v>146</v>
      </c>
    </row>
    <row r="6" customFormat="false" ht="15" hidden="false" customHeight="false" outlineLevel="0" collapsed="false">
      <c r="A6" s="6" t="s">
        <v>147</v>
      </c>
      <c r="B6" s="16" t="n">
        <f aca="false">Entropy_Calc!C24</f>
        <v>0.264128735941939</v>
      </c>
      <c r="C6" s="16" t="n">
        <f aca="false">Entropy_Calc!C25</f>
        <v>0.2641</v>
      </c>
      <c r="D6" s="13" t="n">
        <f aca="false">B6-C6</f>
        <v>2.87359419388622E-005</v>
      </c>
      <c r="E6" s="22" t="n">
        <v>0.0002</v>
      </c>
      <c r="F6" s="17" t="str">
        <f aca="false">IF(ABS(D6)&lt;=E6,"PASS","CHECK")</f>
        <v>PASS</v>
      </c>
      <c r="G6" s="6" t="s">
        <v>145</v>
      </c>
      <c r="H6" s="6" t="s">
        <v>146</v>
      </c>
    </row>
    <row r="7" customFormat="false" ht="15" hidden="false" customHeight="false" outlineLevel="0" collapsed="false">
      <c r="A7" s="6" t="s">
        <v>148</v>
      </c>
      <c r="B7" s="16" t="n">
        <f aca="false">Entropy_Calc!D24</f>
        <v>0.349742063181217</v>
      </c>
      <c r="C7" s="16" t="n">
        <f aca="false">Entropy_Calc!D25</f>
        <v>0.3497</v>
      </c>
      <c r="D7" s="13" t="n">
        <f aca="false">B7-C7</f>
        <v>4.20631812167449E-005</v>
      </c>
      <c r="E7" s="22" t="n">
        <v>0.0002</v>
      </c>
      <c r="F7" s="17" t="str">
        <f aca="false">IF(ABS(D7)&lt;=E7,"PASS","CHECK")</f>
        <v>PASS</v>
      </c>
      <c r="G7" s="6" t="s">
        <v>145</v>
      </c>
      <c r="H7" s="6" t="s">
        <v>146</v>
      </c>
    </row>
    <row r="8" customFormat="false" ht="15" hidden="false" customHeight="false" outlineLevel="0" collapsed="false">
      <c r="A8" s="6" t="s">
        <v>149</v>
      </c>
      <c r="B8" s="16" t="n">
        <f aca="false">Entropy_Calc!E24</f>
        <v>0.619914628714701</v>
      </c>
      <c r="C8" s="16" t="n">
        <f aca="false">Entropy_Calc!E25</f>
        <v>0.4658</v>
      </c>
      <c r="D8" s="13" t="n">
        <f aca="false">B8-C8</f>
        <v>0.154114628714701</v>
      </c>
      <c r="E8" s="22" t="n">
        <v>0.0002</v>
      </c>
      <c r="F8" s="17" t="str">
        <f aca="false">IF(ABS(D8)&lt;=E8,"PASS","CHECK")</f>
        <v>CHECK</v>
      </c>
      <c r="G8" s="6" t="s">
        <v>145</v>
      </c>
      <c r="H8" s="6" t="s">
        <v>146</v>
      </c>
    </row>
    <row r="9" customFormat="false" ht="15" hidden="false" customHeight="false" outlineLevel="0" collapsed="false">
      <c r="A9" s="6" t="s">
        <v>150</v>
      </c>
      <c r="B9" s="16" t="n">
        <f aca="false">Entropy_Calc!F24</f>
        <v>0.380085371285299</v>
      </c>
      <c r="C9" s="16" t="n">
        <f aca="false">Entropy_Calc!F25</f>
        <v>0.5342</v>
      </c>
      <c r="D9" s="13" t="n">
        <f aca="false">B9-C9</f>
        <v>-0.154114628714701</v>
      </c>
      <c r="E9" s="22" t="n">
        <v>0.0002</v>
      </c>
      <c r="F9" s="17" t="str">
        <f aca="false">IF(ABS(D9)&lt;=E9,"PASS","CHECK")</f>
        <v>CHECK</v>
      </c>
      <c r="G9" s="6" t="s">
        <v>145</v>
      </c>
      <c r="H9" s="6" t="s">
        <v>146</v>
      </c>
    </row>
    <row r="10" customFormat="false" ht="15" hidden="false" customHeight="false" outlineLevel="0" collapsed="false">
      <c r="A10" s="6" t="s">
        <v>151</v>
      </c>
      <c r="B10" s="16" t="n">
        <f aca="false">Entropy_Calc!G24</f>
        <v>0.416804648745613</v>
      </c>
      <c r="C10" s="16" t="n">
        <f aca="false">Entropy_Calc!G25</f>
        <v>0.4168</v>
      </c>
      <c r="D10" s="13" t="n">
        <f aca="false">B10-C10</f>
        <v>4.64874561290074E-006</v>
      </c>
      <c r="E10" s="22" t="n">
        <v>0.0002</v>
      </c>
      <c r="F10" s="17" t="str">
        <f aca="false">IF(ABS(D10)&lt;=E10,"PASS","CHECK")</f>
        <v>PASS</v>
      </c>
      <c r="G10" s="6" t="s">
        <v>145</v>
      </c>
      <c r="H10" s="6" t="s">
        <v>146</v>
      </c>
    </row>
    <row r="11" customFormat="false" ht="15" hidden="false" customHeight="false" outlineLevel="0" collapsed="false">
      <c r="A11" s="6" t="s">
        <v>152</v>
      </c>
      <c r="B11" s="16" t="n">
        <f aca="false">Entropy_Calc!H24</f>
        <v>0.583195351254387</v>
      </c>
      <c r="C11" s="16" t="n">
        <f aca="false">Entropy_Calc!H25</f>
        <v>0.5832</v>
      </c>
      <c r="D11" s="13" t="n">
        <f aca="false">B11-C11</f>
        <v>-4.64874561290074E-006</v>
      </c>
      <c r="E11" s="22" t="n">
        <v>0.0002</v>
      </c>
      <c r="F11" s="17" t="str">
        <f aca="false">IF(ABS(D11)&lt;=E11,"PASS","CHECK")</f>
        <v>PASS</v>
      </c>
      <c r="G11" s="6" t="s">
        <v>145</v>
      </c>
      <c r="H11" s="6" t="s">
        <v>146</v>
      </c>
    </row>
    <row r="12" customFormat="false" ht="15" hidden="false" customHeight="false" outlineLevel="0" collapsed="false">
      <c r="A12" s="6" t="s">
        <v>153</v>
      </c>
      <c r="B12" s="16" t="n">
        <f aca="false">Published_Path!K29</f>
        <v>0.639422469353316</v>
      </c>
      <c r="C12" s="11" t="n">
        <v>0.6395</v>
      </c>
      <c r="D12" s="13" t="n">
        <f aca="false">B12-C12</f>
        <v>-7.7530646684032E-005</v>
      </c>
      <c r="E12" s="22" t="n">
        <v>0.0002</v>
      </c>
      <c r="F12" s="17" t="str">
        <f aca="false">IF(ABS(D12)&lt;=E12,"PASS","CHECK")</f>
        <v>PASS</v>
      </c>
      <c r="G12" s="6" t="s">
        <v>154</v>
      </c>
      <c r="H12" s="6" t="s">
        <v>155</v>
      </c>
    </row>
    <row r="13" customFormat="false" ht="15" hidden="false" customHeight="false" outlineLevel="0" collapsed="false">
      <c r="A13" s="6" t="s">
        <v>156</v>
      </c>
      <c r="B13" s="16" t="n">
        <f aca="false">Published_Path!K30</f>
        <v>0.232588831278247</v>
      </c>
      <c r="C13" s="11" t="n">
        <v>0.2326</v>
      </c>
      <c r="D13" s="13" t="n">
        <f aca="false">B13-C13</f>
        <v>-1.11687217525247E-005</v>
      </c>
      <c r="E13" s="22" t="n">
        <v>0.0002</v>
      </c>
      <c r="F13" s="17" t="str">
        <f aca="false">IF(ABS(D13)&lt;=E13,"PASS","CHECK")</f>
        <v>PASS</v>
      </c>
      <c r="G13" s="6" t="s">
        <v>154</v>
      </c>
      <c r="H13" s="6" t="s">
        <v>155</v>
      </c>
    </row>
    <row r="14" customFormat="false" ht="15" hidden="false" customHeight="false" outlineLevel="0" collapsed="false">
      <c r="A14" s="6" t="s">
        <v>157</v>
      </c>
      <c r="B14" s="16" t="n">
        <f aca="false">Published_Path!K31</f>
        <v>0.594673338061422</v>
      </c>
      <c r="C14" s="11" t="n">
        <v>0.5946</v>
      </c>
      <c r="D14" s="13" t="n">
        <f aca="false">B14-C14</f>
        <v>7.3338061421846E-005</v>
      </c>
      <c r="E14" s="22" t="n">
        <v>0.0002</v>
      </c>
      <c r="F14" s="17" t="str">
        <f aca="false">IF(ABS(D14)&lt;=E14,"PASS","CHECK")</f>
        <v>PASS</v>
      </c>
      <c r="G14" s="6" t="s">
        <v>154</v>
      </c>
      <c r="H14" s="6" t="s">
        <v>155</v>
      </c>
    </row>
    <row r="15" customFormat="false" ht="15" hidden="false" customHeight="false" outlineLevel="0" collapsed="false">
      <c r="A15" s="6" t="s">
        <v>158</v>
      </c>
      <c r="B15" s="16" t="n">
        <f aca="false">Published_Path!K32</f>
        <v>0.535072349491012</v>
      </c>
      <c r="C15" s="11" t="n">
        <v>0.535</v>
      </c>
      <c r="D15" s="13" t="n">
        <f aca="false">B15-C15</f>
        <v>7.23494910117584E-005</v>
      </c>
      <c r="E15" s="22" t="n">
        <v>0.0002</v>
      </c>
      <c r="F15" s="17" t="str">
        <f aca="false">IF(ABS(D15)&lt;=E15,"PASS","CHECK")</f>
        <v>PASS</v>
      </c>
      <c r="G15" s="6" t="s">
        <v>154</v>
      </c>
      <c r="H15" s="6" t="s">
        <v>155</v>
      </c>
    </row>
    <row r="16" customFormat="false" ht="15" hidden="false" customHeight="false" outlineLevel="0" collapsed="false">
      <c r="A16" s="6" t="s">
        <v>159</v>
      </c>
      <c r="B16" s="16" t="n">
        <f aca="false">Published_Path!K33</f>
        <v>0.307395351927025</v>
      </c>
      <c r="C16" s="11" t="n">
        <v>0.3074</v>
      </c>
      <c r="D16" s="13" t="n">
        <f aca="false">B16-C16</f>
        <v>-4.64807297506642E-006</v>
      </c>
      <c r="E16" s="22" t="n">
        <v>0.0002</v>
      </c>
      <c r="F16" s="17" t="str">
        <f aca="false">IF(ABS(D16)&lt;=E16,"PASS","CHECK")</f>
        <v>PASS</v>
      </c>
      <c r="G16" s="6" t="s">
        <v>154</v>
      </c>
      <c r="H16" s="6" t="s">
        <v>155</v>
      </c>
    </row>
    <row r="17" customFormat="false" ht="15" hidden="false" customHeight="false" outlineLevel="0" collapsed="false">
      <c r="A17" s="6" t="s">
        <v>160</v>
      </c>
      <c r="B17" s="16" t="n">
        <f aca="false">Published_Path!L29</f>
        <v>1</v>
      </c>
      <c r="C17" s="11" t="n">
        <v>1</v>
      </c>
      <c r="D17" s="13" t="n">
        <f aca="false">B17-C17</f>
        <v>0</v>
      </c>
      <c r="E17" s="22" t="n">
        <v>0</v>
      </c>
      <c r="F17" s="17" t="str">
        <f aca="false">IF(ABS(D17)&lt;=E17,"PASS","CHECK")</f>
        <v>PASS</v>
      </c>
      <c r="G17" s="6" t="s">
        <v>161</v>
      </c>
      <c r="H17" s="6" t="s">
        <v>162</v>
      </c>
    </row>
    <row r="18" customFormat="false" ht="15" hidden="false" customHeight="false" outlineLevel="0" collapsed="false">
      <c r="A18" s="6" t="s">
        <v>163</v>
      </c>
      <c r="B18" s="16" t="n">
        <f aca="false">Published_Path!L30</f>
        <v>5</v>
      </c>
      <c r="C18" s="11" t="n">
        <v>5</v>
      </c>
      <c r="D18" s="13" t="n">
        <f aca="false">B18-C18</f>
        <v>0</v>
      </c>
      <c r="E18" s="22" t="n">
        <v>0</v>
      </c>
      <c r="F18" s="17" t="str">
        <f aca="false">IF(ABS(D18)&lt;=E18,"PASS","CHECK")</f>
        <v>PASS</v>
      </c>
      <c r="G18" s="6" t="s">
        <v>161</v>
      </c>
      <c r="H18" s="6" t="s">
        <v>162</v>
      </c>
    </row>
    <row r="19" customFormat="false" ht="15" hidden="false" customHeight="false" outlineLevel="0" collapsed="false">
      <c r="A19" s="6" t="s">
        <v>164</v>
      </c>
      <c r="B19" s="16" t="n">
        <f aca="false">Published_Path!L31</f>
        <v>2</v>
      </c>
      <c r="C19" s="11" t="n">
        <v>2</v>
      </c>
      <c r="D19" s="13" t="n">
        <f aca="false">B19-C19</f>
        <v>0</v>
      </c>
      <c r="E19" s="22" t="n">
        <v>0</v>
      </c>
      <c r="F19" s="17" t="str">
        <f aca="false">IF(ABS(D19)&lt;=E19,"PASS","CHECK")</f>
        <v>PASS</v>
      </c>
      <c r="G19" s="6" t="s">
        <v>161</v>
      </c>
      <c r="H19" s="6" t="s">
        <v>162</v>
      </c>
    </row>
    <row r="20" customFormat="false" ht="15" hidden="false" customHeight="false" outlineLevel="0" collapsed="false">
      <c r="A20" s="6" t="s">
        <v>165</v>
      </c>
      <c r="B20" s="16" t="n">
        <f aca="false">Published_Path!L32</f>
        <v>3</v>
      </c>
      <c r="C20" s="11" t="n">
        <v>3</v>
      </c>
      <c r="D20" s="13" t="n">
        <f aca="false">B20-C20</f>
        <v>0</v>
      </c>
      <c r="E20" s="22" t="n">
        <v>0</v>
      </c>
      <c r="F20" s="17" t="str">
        <f aca="false">IF(ABS(D20)&lt;=E20,"PASS","CHECK")</f>
        <v>PASS</v>
      </c>
      <c r="G20" s="6" t="s">
        <v>161</v>
      </c>
      <c r="H20" s="6" t="s">
        <v>162</v>
      </c>
    </row>
    <row r="21" customFormat="false" ht="15" hidden="false" customHeight="false" outlineLevel="0" collapsed="false">
      <c r="A21" s="6" t="s">
        <v>166</v>
      </c>
      <c r="B21" s="16" t="n">
        <f aca="false">Published_Path!L33</f>
        <v>4</v>
      </c>
      <c r="C21" s="11" t="n">
        <v>4</v>
      </c>
      <c r="D21" s="13" t="n">
        <f aca="false">B21-C21</f>
        <v>0</v>
      </c>
      <c r="E21" s="22" t="n">
        <v>0</v>
      </c>
      <c r="F21" s="17" t="str">
        <f aca="false">IF(ABS(D21)&lt;=E21,"PASS","CHECK")</f>
        <v>PASS</v>
      </c>
      <c r="G21" s="6" t="s">
        <v>161</v>
      </c>
      <c r="H21" s="6" t="s">
        <v>162</v>
      </c>
    </row>
    <row r="22" customFormat="false" ht="15" hidden="false" customHeight="false" outlineLevel="0" collapsed="false">
      <c r="A22" s="6" t="s">
        <v>167</v>
      </c>
      <c r="B22" s="16" t="n">
        <f aca="false">Combined_Weights!H21</f>
        <v>1</v>
      </c>
      <c r="C22" s="11" t="n">
        <v>1</v>
      </c>
      <c r="D22" s="13" t="n">
        <f aca="false">B22-C22</f>
        <v>0</v>
      </c>
      <c r="E22" s="22" t="n">
        <v>0.0001</v>
      </c>
      <c r="F22" s="17" t="str">
        <f aca="false">IF(ABS(D22)&lt;=E22,"PASS","CHECK")</f>
        <v>PASS</v>
      </c>
      <c r="G22" s="6" t="s">
        <v>168</v>
      </c>
      <c r="H22" s="6" t="s">
        <v>169</v>
      </c>
    </row>
    <row r="25" customFormat="false" ht="15" hidden="false" customHeight="true" outlineLevel="0" collapsed="false">
      <c r="A25" s="25" t="s">
        <v>170</v>
      </c>
      <c r="B25" s="25"/>
      <c r="C25" s="25"/>
      <c r="D25" s="25"/>
      <c r="E25" s="25"/>
      <c r="F25" s="25"/>
      <c r="G25" s="25"/>
      <c r="H25" s="25"/>
    </row>
    <row r="26" customFormat="false" ht="15" hidden="false" customHeight="false" outlineLevel="0" collapsed="false">
      <c r="A26" s="25"/>
      <c r="B26" s="25"/>
      <c r="C26" s="25"/>
      <c r="D26" s="25"/>
      <c r="E26" s="25"/>
      <c r="F26" s="25"/>
      <c r="G26" s="25"/>
      <c r="H26" s="25"/>
    </row>
    <row r="27" customFormat="false" ht="15" hidden="false" customHeight="false" outlineLevel="0" collapsed="false">
      <c r="A27" s="25"/>
      <c r="B27" s="25"/>
      <c r="C27" s="25"/>
      <c r="D27" s="25"/>
      <c r="E27" s="25"/>
      <c r="F27" s="25"/>
      <c r="G27" s="25"/>
      <c r="H27" s="25"/>
    </row>
    <row r="28" customFormat="false" ht="15" hidden="false" customHeight="false" outlineLevel="0" collapsed="false">
      <c r="A28" s="25"/>
      <c r="B28" s="25"/>
      <c r="C28" s="25"/>
      <c r="D28" s="25"/>
      <c r="E28" s="25"/>
      <c r="F28" s="25"/>
      <c r="G28" s="25"/>
      <c r="H28" s="25"/>
    </row>
  </sheetData>
  <mergeCells count="3">
    <mergeCell ref="A1:H1"/>
    <mergeCell ref="A2:H2"/>
    <mergeCell ref="A25:H28"/>
  </mergeCells>
  <conditionalFormatting sqref="F5:F22">
    <cfRule type="cellIs" priority="2" operator="equal" aboveAverage="0" equalAverage="0" bottom="0" percent="0" rank="0" text="" dxfId="0">
      <formula>"PASS"</formula>
    </cfRule>
    <cfRule type="cellIs" priority="3" operator="equal" aboveAverage="0" equalAverage="0" bottom="0" percent="0" rank="0" text="" dxfId="1">
      <formula>"CHECK"</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&amp;CPage &amp;P of &amp;N&amp;RTOPSIS paper reproduction</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2026-09-29T04:02:57Z</dcterms:created>
  <dc:creator>OpenAI</dc:creator>
  <dc:description>Formula-driven learning workbook with explicit source inputs and validation checks.</dc:description>
  <dc:language>en-US</dc:language>
  <cp:lastModifiedBy/>
  <dcterms:modified xsi:type="dcterms:W3CDTF">2026-09-29T04:02:57Z</dcterms:modified>
  <cp:revision>0</cp:revision>
  <dc:subject>Transparent spreadsheet reproduction of Chen (2020)</dc:subject>
  <dc:title>Entropy-AHP Weighted TOPSIS Paper Reproduction Learning Workbook</dc:title>
</cp:coreProperties>
</file>

<file path=docProps/custom.xml><?xml version="1.0" encoding="utf-8"?>
<Properties xmlns="http://schemas.openxmlformats.org/officeDocument/2006/custom-properties" xmlns:vt="http://schemas.openxmlformats.org/officeDocument/2006/docPropsVTypes"/>
</file>